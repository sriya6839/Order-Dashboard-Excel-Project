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e6888db584eb7cff/Desktop/"/>
    </mc:Choice>
  </mc:AlternateContent>
  <xr:revisionPtr revIDLastSave="1" documentId="8_{F90C1154-2E5F-4F80-8DA6-27C7DF3FDB67}" xr6:coauthVersionLast="47" xr6:coauthVersionMax="47" xr10:uidLastSave="{FFC33D83-69FC-4754-B354-26F367342D18}"/>
  <bookViews>
    <workbookView xWindow="-108" yWindow="-108" windowWidth="23256" windowHeight="12456" activeTab="2" xr2:uid="{AC3D9971-87E5-4802-8C05-F7A646114B98}"/>
  </bookViews>
  <sheets>
    <sheet name="Orders" sheetId="6" r:id="rId1"/>
    <sheet name="Order Pivot" sheetId="16" r:id="rId2"/>
    <sheet name="Order_Dashboard" sheetId="17" r:id="rId3"/>
  </sheets>
  <definedNames>
    <definedName name="_xlcn.WorksheetConnection_DataModellingClassWorkbook.xlsxTable1" hidden="1">Table1</definedName>
    <definedName name="_xlcn.WorksheetConnection_DataModellingClassWorkbook.xlsxTable2" hidden="1">Table2</definedName>
    <definedName name="_xlcn.WorksheetConnection_DataModellingClassWorkbook.xlsxTable3" hidden="1">Table3[]</definedName>
    <definedName name="_xlcn.WorksheetConnection_DataModellingClassWorkbook.xlsxTable4" hidden="1">Table4</definedName>
    <definedName name="Slicer_Agent">#N/A</definedName>
    <definedName name="Slicer_Day">#N/A</definedName>
    <definedName name="Slicer_Order_Type">#N/A</definedName>
    <definedName name="Slicer_Product_Name">#N/A</definedName>
    <definedName name="Slicer_Sale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ata Modelling - Class Workbook.xlsx!Table4"/>
          <x15:modelTable id="Table3" name="Table3" connection="WorksheetConnection_Data Modelling - Class Workbook.xlsx!Table3"/>
          <x15:modelTable id="Table2" name="Table2" connection="WorksheetConnection_Data Modelling - Class Workbook.xlsx!Table2"/>
          <x15:modelTable id="Table1" name="Table1" connection="WorksheetConnection_Data Modelling - Class Workboo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6" l="1"/>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J2" i="6"/>
  <c r="K2" i="6" s="1"/>
  <c r="J3" i="6"/>
  <c r="K3" i="6" s="1"/>
  <c r="J4" i="6"/>
  <c r="K4" i="6" s="1"/>
  <c r="J5" i="6"/>
  <c r="K5" i="6" s="1"/>
  <c r="J6" i="6"/>
  <c r="K6" i="6" s="1"/>
  <c r="J7" i="6"/>
  <c r="K7" i="6" s="1"/>
  <c r="J8" i="6"/>
  <c r="K8" i="6" s="1"/>
  <c r="J9" i="6"/>
  <c r="K9" i="6" s="1"/>
  <c r="J10" i="6"/>
  <c r="K10" i="6" s="1"/>
  <c r="J11" i="6"/>
  <c r="K11" i="6" s="1"/>
  <c r="J12" i="6"/>
  <c r="K12" i="6" s="1"/>
  <c r="J13" i="6"/>
  <c r="K13" i="6" s="1"/>
  <c r="J14" i="6"/>
  <c r="K14" i="6" s="1"/>
  <c r="J15" i="6"/>
  <c r="K15" i="6" s="1"/>
  <c r="J16" i="6"/>
  <c r="K16" i="6" s="1"/>
  <c r="J17" i="6"/>
  <c r="K17" i="6" s="1"/>
  <c r="J18" i="6"/>
  <c r="K18" i="6" s="1"/>
  <c r="J19" i="6"/>
  <c r="K19" i="6" s="1"/>
  <c r="J20" i="6"/>
  <c r="K20" i="6" s="1"/>
  <c r="J21" i="6"/>
  <c r="K21" i="6" s="1"/>
  <c r="J22" i="6"/>
  <c r="K22" i="6" s="1"/>
  <c r="J23" i="6"/>
  <c r="K23" i="6" s="1"/>
  <c r="J24" i="6"/>
  <c r="K24" i="6" s="1"/>
  <c r="J25" i="6"/>
  <c r="K25" i="6" s="1"/>
  <c r="J26" i="6"/>
  <c r="K26" i="6" s="1"/>
  <c r="J27" i="6"/>
  <c r="K27" i="6" s="1"/>
  <c r="J28" i="6"/>
  <c r="K28" i="6" s="1"/>
  <c r="J29" i="6"/>
  <c r="K29" i="6" s="1"/>
  <c r="J30" i="6"/>
  <c r="K30" i="6" s="1"/>
  <c r="J31" i="6"/>
  <c r="K31" i="6" s="1"/>
  <c r="J32" i="6"/>
  <c r="K32" i="6" s="1"/>
  <c r="J33" i="6"/>
  <c r="K33" i="6" s="1"/>
  <c r="J34" i="6"/>
  <c r="K34" i="6" s="1"/>
  <c r="J35" i="6"/>
  <c r="K35" i="6" s="1"/>
  <c r="J36" i="6"/>
  <c r="K36" i="6" s="1"/>
  <c r="J37" i="6"/>
  <c r="K37" i="6" s="1"/>
  <c r="J38" i="6"/>
  <c r="K38" i="6" s="1"/>
  <c r="J39" i="6"/>
  <c r="K39" i="6" s="1"/>
  <c r="J40" i="6"/>
  <c r="K40" i="6" s="1"/>
  <c r="J41" i="6"/>
  <c r="K41" i="6" s="1"/>
  <c r="J42" i="6"/>
  <c r="K42" i="6" s="1"/>
  <c r="J43" i="6"/>
  <c r="K43" i="6" s="1"/>
  <c r="J44" i="6"/>
  <c r="K44" i="6" s="1"/>
  <c r="J45" i="6"/>
  <c r="K45" i="6" s="1"/>
  <c r="J46" i="6"/>
  <c r="K46" i="6" s="1"/>
  <c r="J47" i="6"/>
  <c r="K47" i="6" s="1"/>
  <c r="J48" i="6"/>
  <c r="K48" i="6" s="1"/>
  <c r="J49" i="6"/>
  <c r="K49" i="6" s="1"/>
  <c r="J50" i="6"/>
  <c r="K50" i="6" s="1"/>
  <c r="J51" i="6"/>
  <c r="K51" i="6" s="1"/>
  <c r="J52" i="6"/>
  <c r="K52" i="6" s="1"/>
  <c r="J53" i="6"/>
  <c r="K53" i="6" s="1"/>
  <c r="J54" i="6"/>
  <c r="K54" i="6" s="1"/>
  <c r="J55" i="6"/>
  <c r="K55" i="6" s="1"/>
  <c r="J56" i="6"/>
  <c r="K56" i="6" s="1"/>
  <c r="J57" i="6"/>
  <c r="K57" i="6" s="1"/>
  <c r="J58" i="6"/>
  <c r="K58" i="6" s="1"/>
  <c r="J59" i="6"/>
  <c r="K59" i="6" s="1"/>
  <c r="J60" i="6"/>
  <c r="K60" i="6" s="1"/>
  <c r="J61" i="6"/>
  <c r="K61" i="6" s="1"/>
  <c r="J62" i="6"/>
  <c r="K62" i="6" s="1"/>
  <c r="J63" i="6"/>
  <c r="K63" i="6" s="1"/>
  <c r="J64" i="6"/>
  <c r="K64" i="6" s="1"/>
  <c r="J65" i="6"/>
  <c r="K65" i="6" s="1"/>
  <c r="J66" i="6"/>
  <c r="K66" i="6" s="1"/>
  <c r="J67" i="6"/>
  <c r="K67" i="6" s="1"/>
  <c r="J68" i="6"/>
  <c r="K68" i="6" s="1"/>
  <c r="J69" i="6"/>
  <c r="K69" i="6" s="1"/>
  <c r="J70" i="6"/>
  <c r="K70" i="6" s="1"/>
  <c r="J71" i="6"/>
  <c r="K71" i="6" s="1"/>
  <c r="J72" i="6"/>
  <c r="K72" i="6" s="1"/>
  <c r="J73" i="6"/>
  <c r="K73" i="6" s="1"/>
  <c r="J74" i="6"/>
  <c r="K74" i="6" s="1"/>
  <c r="J75" i="6"/>
  <c r="K75" i="6" s="1"/>
  <c r="J76" i="6"/>
  <c r="K76" i="6" s="1"/>
  <c r="J77" i="6"/>
  <c r="K77" i="6" s="1"/>
  <c r="J78" i="6"/>
  <c r="K78" i="6" s="1"/>
  <c r="J79" i="6"/>
  <c r="K79" i="6" s="1"/>
  <c r="J80" i="6"/>
  <c r="K80" i="6" s="1"/>
  <c r="J81" i="6"/>
  <c r="K81" i="6" s="1"/>
  <c r="J82" i="6"/>
  <c r="K82" i="6" s="1"/>
  <c r="J83" i="6"/>
  <c r="K83" i="6" s="1"/>
  <c r="J84" i="6"/>
  <c r="K84" i="6" s="1"/>
  <c r="J85" i="6"/>
  <c r="K85" i="6" s="1"/>
  <c r="J86" i="6"/>
  <c r="K86" i="6" s="1"/>
  <c r="J87" i="6"/>
  <c r="K87" i="6" s="1"/>
  <c r="J88" i="6"/>
  <c r="K88" i="6" s="1"/>
  <c r="J89" i="6"/>
  <c r="K89" i="6" s="1"/>
  <c r="J90" i="6"/>
  <c r="K90" i="6" s="1"/>
  <c r="J91" i="6"/>
  <c r="K91" i="6" s="1"/>
  <c r="J92" i="6"/>
  <c r="K92" i="6" s="1"/>
  <c r="J93" i="6"/>
  <c r="K93" i="6" s="1"/>
  <c r="J94" i="6"/>
  <c r="K94" i="6" s="1"/>
  <c r="J95" i="6"/>
  <c r="K95" i="6" s="1"/>
  <c r="J96" i="6"/>
  <c r="K96" i="6" s="1"/>
  <c r="J97" i="6"/>
  <c r="K97" i="6" s="1"/>
  <c r="J98" i="6"/>
  <c r="K98" i="6" s="1"/>
  <c r="J99" i="6"/>
  <c r="K99" i="6" s="1"/>
  <c r="J100" i="6"/>
  <c r="K100" i="6" s="1"/>
  <c r="J101" i="6"/>
  <c r="K101" i="6" s="1"/>
  <c r="J102" i="6"/>
  <c r="K102" i="6" s="1"/>
  <c r="J103" i="6"/>
  <c r="K103" i="6" s="1"/>
  <c r="J104" i="6"/>
  <c r="K104" i="6" s="1"/>
  <c r="J105" i="6"/>
  <c r="K105" i="6" s="1"/>
  <c r="J106" i="6"/>
  <c r="K106" i="6" s="1"/>
  <c r="J107" i="6"/>
  <c r="K107" i="6" s="1"/>
  <c r="J108" i="6"/>
  <c r="K108" i="6" s="1"/>
  <c r="J109" i="6"/>
  <c r="K109" i="6" s="1"/>
  <c r="J110" i="6"/>
  <c r="K110" i="6" s="1"/>
  <c r="J111" i="6"/>
  <c r="K111" i="6" s="1"/>
  <c r="J112" i="6"/>
  <c r="K112" i="6" s="1"/>
  <c r="J113" i="6"/>
  <c r="K113" i="6" s="1"/>
  <c r="J114" i="6"/>
  <c r="K114" i="6" s="1"/>
  <c r="J115" i="6"/>
  <c r="K115" i="6" s="1"/>
  <c r="J116" i="6"/>
  <c r="K116" i="6" s="1"/>
  <c r="J117" i="6"/>
  <c r="K117" i="6" s="1"/>
  <c r="J118" i="6"/>
  <c r="K118" i="6" s="1"/>
  <c r="J119" i="6"/>
  <c r="K119" i="6" s="1"/>
  <c r="J120" i="6"/>
  <c r="K120" i="6" s="1"/>
  <c r="J121" i="6"/>
  <c r="K121" i="6" s="1"/>
  <c r="J122" i="6"/>
  <c r="K122" i="6" s="1"/>
  <c r="J123" i="6"/>
  <c r="K123" i="6" s="1"/>
  <c r="J124" i="6"/>
  <c r="K124" i="6" s="1"/>
  <c r="J125" i="6"/>
  <c r="K125" i="6" s="1"/>
  <c r="J126" i="6"/>
  <c r="K126" i="6" s="1"/>
  <c r="J127" i="6"/>
  <c r="K127" i="6" s="1"/>
  <c r="J128" i="6"/>
  <c r="K128" i="6" s="1"/>
  <c r="J129" i="6"/>
  <c r="K129" i="6" s="1"/>
  <c r="J130" i="6"/>
  <c r="K130" i="6" s="1"/>
  <c r="J131" i="6"/>
  <c r="K131" i="6" s="1"/>
  <c r="J132" i="6"/>
  <c r="K132" i="6" s="1"/>
  <c r="J133" i="6"/>
  <c r="K133" i="6" s="1"/>
  <c r="J134" i="6"/>
  <c r="K134" i="6" s="1"/>
  <c r="J135" i="6"/>
  <c r="K135" i="6" s="1"/>
  <c r="J136" i="6"/>
  <c r="K136" i="6" s="1"/>
  <c r="J137" i="6"/>
  <c r="K137" i="6" s="1"/>
  <c r="J138" i="6"/>
  <c r="K138" i="6" s="1"/>
  <c r="J139" i="6"/>
  <c r="K139" i="6" s="1"/>
  <c r="J140" i="6"/>
  <c r="K140" i="6" s="1"/>
  <c r="J141" i="6"/>
  <c r="K141" i="6" s="1"/>
  <c r="J142" i="6"/>
  <c r="K142" i="6" s="1"/>
  <c r="J143" i="6"/>
  <c r="K143" i="6" s="1"/>
  <c r="J144" i="6"/>
  <c r="K144" i="6" s="1"/>
  <c r="J145" i="6"/>
  <c r="K145" i="6" s="1"/>
  <c r="J146" i="6"/>
  <c r="K146" i="6" s="1"/>
  <c r="J147" i="6"/>
  <c r="K147" i="6" s="1"/>
  <c r="J148" i="6"/>
  <c r="K148" i="6" s="1"/>
  <c r="J149" i="6"/>
  <c r="K149" i="6" s="1"/>
  <c r="J150" i="6"/>
  <c r="K150" i="6" s="1"/>
  <c r="J151" i="6"/>
  <c r="K151" i="6" s="1"/>
  <c r="J152" i="6"/>
  <c r="K152" i="6" s="1"/>
  <c r="J153" i="6"/>
  <c r="K153" i="6" s="1"/>
  <c r="J154" i="6"/>
  <c r="K154" i="6" s="1"/>
  <c r="J155" i="6"/>
  <c r="K155" i="6" s="1"/>
  <c r="J156" i="6"/>
  <c r="K156" i="6" s="1"/>
  <c r="J157" i="6"/>
  <c r="K157" i="6" s="1"/>
  <c r="J158" i="6"/>
  <c r="K158" i="6" s="1"/>
  <c r="J159" i="6"/>
  <c r="K159" i="6" s="1"/>
  <c r="J160" i="6"/>
  <c r="K160" i="6" s="1"/>
  <c r="J161" i="6"/>
  <c r="K161" i="6" s="1"/>
  <c r="J162" i="6"/>
  <c r="K162" i="6" s="1"/>
  <c r="J163" i="6"/>
  <c r="K163" i="6" s="1"/>
  <c r="J164" i="6"/>
  <c r="K164" i="6" s="1"/>
  <c r="J165" i="6"/>
  <c r="K165" i="6" s="1"/>
  <c r="J166" i="6"/>
  <c r="K166" i="6" s="1"/>
  <c r="J167" i="6"/>
  <c r="K167" i="6" s="1"/>
  <c r="J168" i="6"/>
  <c r="K168" i="6" s="1"/>
  <c r="J169" i="6"/>
  <c r="K169" i="6" s="1"/>
  <c r="J170" i="6"/>
  <c r="K170" i="6" s="1"/>
  <c r="J171" i="6"/>
  <c r="K171" i="6" s="1"/>
  <c r="J172" i="6"/>
  <c r="K172" i="6" s="1"/>
  <c r="J173" i="6"/>
  <c r="K173" i="6" s="1"/>
  <c r="J174" i="6"/>
  <c r="K174" i="6" s="1"/>
  <c r="J175" i="6"/>
  <c r="K175" i="6" s="1"/>
  <c r="J176" i="6"/>
  <c r="K176" i="6" s="1"/>
  <c r="J177" i="6"/>
  <c r="K177" i="6" s="1"/>
  <c r="J178" i="6"/>
  <c r="K178" i="6" s="1"/>
  <c r="J179" i="6"/>
  <c r="K179" i="6" s="1"/>
  <c r="J180" i="6"/>
  <c r="K180" i="6" s="1"/>
  <c r="J181" i="6"/>
  <c r="K181" i="6" s="1"/>
  <c r="J182" i="6"/>
  <c r="K182" i="6" s="1"/>
  <c r="J183" i="6"/>
  <c r="K183" i="6" s="1"/>
  <c r="J184" i="6"/>
  <c r="K184" i="6" s="1"/>
  <c r="J185" i="6"/>
  <c r="K185" i="6" s="1"/>
  <c r="J186" i="6"/>
  <c r="K186" i="6" s="1"/>
  <c r="J187" i="6"/>
  <c r="K187" i="6" s="1"/>
  <c r="J188" i="6"/>
  <c r="K188" i="6" s="1"/>
  <c r="J189" i="6"/>
  <c r="K189" i="6" s="1"/>
  <c r="J190" i="6"/>
  <c r="K190" i="6" s="1"/>
  <c r="J191" i="6"/>
  <c r="K191" i="6" s="1"/>
  <c r="J192" i="6"/>
  <c r="K192" i="6" s="1"/>
  <c r="J193" i="6"/>
  <c r="K193" i="6" s="1"/>
  <c r="J194" i="6"/>
  <c r="K194" i="6" s="1"/>
  <c r="J195" i="6"/>
  <c r="K195" i="6" s="1"/>
  <c r="J196" i="6"/>
  <c r="K196" i="6" s="1"/>
  <c r="J197" i="6"/>
  <c r="K197" i="6" s="1"/>
  <c r="J198" i="6"/>
  <c r="K198" i="6" s="1"/>
  <c r="J199" i="6"/>
  <c r="K199" i="6" s="1"/>
  <c r="J200" i="6"/>
  <c r="K200" i="6" s="1"/>
  <c r="J201" i="6"/>
  <c r="K201" i="6" s="1"/>
  <c r="J202" i="6"/>
  <c r="K202" i="6" s="1"/>
  <c r="J203" i="6"/>
  <c r="K203" i="6" s="1"/>
  <c r="J204" i="6"/>
  <c r="K204" i="6" s="1"/>
  <c r="J205" i="6"/>
  <c r="K205" i="6" s="1"/>
  <c r="J206" i="6"/>
  <c r="K206" i="6" s="1"/>
  <c r="J207" i="6"/>
  <c r="K207" i="6" s="1"/>
  <c r="J208" i="6"/>
  <c r="K208" i="6" s="1"/>
  <c r="J209" i="6"/>
  <c r="K209" i="6" s="1"/>
  <c r="J210" i="6"/>
  <c r="K210" i="6" s="1"/>
  <c r="J211" i="6"/>
  <c r="K211" i="6" s="1"/>
  <c r="J212" i="6"/>
  <c r="K212" i="6" s="1"/>
  <c r="J213" i="6"/>
  <c r="K213" i="6" s="1"/>
  <c r="J214" i="6"/>
  <c r="K214" i="6" s="1"/>
  <c r="J215" i="6"/>
  <c r="K215" i="6" s="1"/>
  <c r="J216" i="6"/>
  <c r="K216" i="6" s="1"/>
  <c r="J217" i="6"/>
  <c r="K217" i="6" s="1"/>
  <c r="J218" i="6"/>
  <c r="K218" i="6" s="1"/>
  <c r="J219" i="6"/>
  <c r="K219" i="6" s="1"/>
  <c r="J220" i="6"/>
  <c r="K220" i="6" s="1"/>
  <c r="J221" i="6"/>
  <c r="K221" i="6" s="1"/>
  <c r="J222" i="6"/>
  <c r="K222" i="6" s="1"/>
  <c r="J223" i="6"/>
  <c r="K223" i="6" s="1"/>
  <c r="J224" i="6"/>
  <c r="K224" i="6" s="1"/>
  <c r="J225" i="6"/>
  <c r="K225" i="6" s="1"/>
  <c r="J226" i="6"/>
  <c r="K226" i="6" s="1"/>
  <c r="J227" i="6"/>
  <c r="K227" i="6" s="1"/>
  <c r="J228" i="6"/>
  <c r="K228" i="6" s="1"/>
  <c r="J229" i="6"/>
  <c r="K229" i="6" s="1"/>
  <c r="J230" i="6"/>
  <c r="K230" i="6" s="1"/>
  <c r="J231" i="6"/>
  <c r="K231" i="6" s="1"/>
  <c r="J232" i="6"/>
  <c r="K232" i="6" s="1"/>
  <c r="J233" i="6"/>
  <c r="K233" i="6" s="1"/>
  <c r="J234" i="6"/>
  <c r="K234" i="6" s="1"/>
  <c r="J235" i="6"/>
  <c r="K235" i="6" s="1"/>
  <c r="J236" i="6"/>
  <c r="K236" i="6" s="1"/>
  <c r="J237" i="6"/>
  <c r="K237" i="6" s="1"/>
  <c r="J238" i="6"/>
  <c r="K238" i="6" s="1"/>
  <c r="J239" i="6"/>
  <c r="K239" i="6" s="1"/>
  <c r="J240" i="6"/>
  <c r="K240" i="6" s="1"/>
  <c r="J241" i="6"/>
  <c r="K241" i="6" s="1"/>
  <c r="J242" i="6"/>
  <c r="K242" i="6" s="1"/>
  <c r="J243" i="6"/>
  <c r="K243" i="6" s="1"/>
  <c r="J244" i="6"/>
  <c r="K244" i="6" s="1"/>
  <c r="J245" i="6"/>
  <c r="K245" i="6" s="1"/>
  <c r="J246" i="6"/>
  <c r="K246" i="6" s="1"/>
  <c r="J247" i="6"/>
  <c r="K247" i="6" s="1"/>
  <c r="J248" i="6"/>
  <c r="K248" i="6" s="1"/>
  <c r="J249" i="6"/>
  <c r="K249" i="6" s="1"/>
  <c r="J250" i="6"/>
  <c r="K250" i="6" s="1"/>
  <c r="J251" i="6"/>
  <c r="K251" i="6" s="1"/>
  <c r="J252" i="6"/>
  <c r="K252" i="6" s="1"/>
  <c r="J253" i="6"/>
  <c r="K253" i="6" s="1"/>
  <c r="J254" i="6"/>
  <c r="K254" i="6" s="1"/>
  <c r="J255" i="6"/>
  <c r="K255" i="6" s="1"/>
  <c r="J256" i="6"/>
  <c r="K256" i="6" s="1"/>
  <c r="J257" i="6"/>
  <c r="K257" i="6" s="1"/>
  <c r="J258" i="6"/>
  <c r="K258" i="6" s="1"/>
  <c r="J259" i="6"/>
  <c r="K259" i="6" s="1"/>
  <c r="J260" i="6"/>
  <c r="K260" i="6" s="1"/>
  <c r="J261" i="6"/>
  <c r="K261" i="6" s="1"/>
  <c r="J262" i="6"/>
  <c r="K262" i="6" s="1"/>
  <c r="J263" i="6"/>
  <c r="K263" i="6" s="1"/>
  <c r="J264" i="6"/>
  <c r="K264" i="6" s="1"/>
  <c r="J265" i="6"/>
  <c r="K265" i="6" s="1"/>
  <c r="J266" i="6"/>
  <c r="K266" i="6" s="1"/>
  <c r="J267" i="6"/>
  <c r="K267" i="6" s="1"/>
  <c r="J268" i="6"/>
  <c r="K268" i="6" s="1"/>
  <c r="J269" i="6"/>
  <c r="K269" i="6" s="1"/>
  <c r="J270" i="6"/>
  <c r="K270" i="6" s="1"/>
  <c r="J271" i="6"/>
  <c r="K271" i="6" s="1"/>
  <c r="J272" i="6"/>
  <c r="K272" i="6" s="1"/>
  <c r="J273" i="6"/>
  <c r="K273" i="6" s="1"/>
  <c r="J274" i="6"/>
  <c r="K274" i="6" s="1"/>
  <c r="J275" i="6"/>
  <c r="K275" i="6" s="1"/>
  <c r="J276" i="6"/>
  <c r="K276" i="6" s="1"/>
  <c r="J277" i="6"/>
  <c r="K277" i="6" s="1"/>
  <c r="J278" i="6"/>
  <c r="K278" i="6" s="1"/>
  <c r="J279" i="6"/>
  <c r="K279" i="6" s="1"/>
  <c r="J280" i="6"/>
  <c r="K280" i="6" s="1"/>
  <c r="J281" i="6"/>
  <c r="K281" i="6" s="1"/>
  <c r="J282" i="6"/>
  <c r="K282" i="6" s="1"/>
  <c r="J283" i="6"/>
  <c r="K283" i="6" s="1"/>
  <c r="J284" i="6"/>
  <c r="K284" i="6" s="1"/>
  <c r="J285" i="6"/>
  <c r="K285" i="6" s="1"/>
  <c r="J286" i="6"/>
  <c r="K286" i="6" s="1"/>
  <c r="J287" i="6"/>
  <c r="K287" i="6" s="1"/>
  <c r="J288" i="6"/>
  <c r="K288" i="6" s="1"/>
  <c r="J289" i="6"/>
  <c r="K289" i="6" s="1"/>
  <c r="J290" i="6"/>
  <c r="K290" i="6" s="1"/>
  <c r="J291" i="6"/>
  <c r="K291" i="6" s="1"/>
  <c r="J292" i="6"/>
  <c r="K292" i="6" s="1"/>
  <c r="J293" i="6"/>
  <c r="K293" i="6" s="1"/>
  <c r="J294" i="6"/>
  <c r="K294" i="6" s="1"/>
  <c r="J295" i="6"/>
  <c r="K295" i="6" s="1"/>
  <c r="J296" i="6"/>
  <c r="K296" i="6" s="1"/>
  <c r="J297" i="6"/>
  <c r="K297" i="6" s="1"/>
  <c r="J298" i="6"/>
  <c r="K298" i="6" s="1"/>
  <c r="J299" i="6"/>
  <c r="K299" i="6" s="1"/>
  <c r="J300" i="6"/>
  <c r="K300" i="6" s="1"/>
  <c r="J301" i="6"/>
  <c r="K301" i="6" s="1"/>
  <c r="J302" i="6"/>
  <c r="K302" i="6" s="1"/>
  <c r="J303" i="6"/>
  <c r="K303" i="6" s="1"/>
  <c r="J304" i="6"/>
  <c r="K304" i="6" s="1"/>
  <c r="J305" i="6"/>
  <c r="K305" i="6" s="1"/>
  <c r="J306" i="6"/>
  <c r="K306" i="6" s="1"/>
  <c r="J307" i="6"/>
  <c r="K307" i="6" s="1"/>
  <c r="J308" i="6"/>
  <c r="K308" i="6" s="1"/>
  <c r="J309" i="6"/>
  <c r="K309" i="6" s="1"/>
  <c r="J310" i="6"/>
  <c r="K310" i="6" s="1"/>
  <c r="J311" i="6"/>
  <c r="K311" i="6" s="1"/>
  <c r="J312" i="6"/>
  <c r="K312" i="6" s="1"/>
  <c r="J313" i="6"/>
  <c r="K313" i="6" s="1"/>
  <c r="J314" i="6"/>
  <c r="K314" i="6" s="1"/>
  <c r="J315" i="6"/>
  <c r="K315" i="6" s="1"/>
  <c r="J316" i="6"/>
  <c r="K316" i="6" s="1"/>
  <c r="J317" i="6"/>
  <c r="K317" i="6" s="1"/>
  <c r="J318" i="6"/>
  <c r="K318" i="6" s="1"/>
  <c r="J319" i="6"/>
  <c r="K319" i="6" s="1"/>
  <c r="J320" i="6"/>
  <c r="K320" i="6" s="1"/>
  <c r="J321" i="6"/>
  <c r="K321" i="6" s="1"/>
  <c r="J322" i="6"/>
  <c r="K322" i="6" s="1"/>
  <c r="J323" i="6"/>
  <c r="K323" i="6" s="1"/>
  <c r="J324" i="6"/>
  <c r="K324" i="6" s="1"/>
  <c r="J325" i="6"/>
  <c r="K325" i="6" s="1"/>
  <c r="J326" i="6"/>
  <c r="K326" i="6" s="1"/>
  <c r="J327" i="6"/>
  <c r="K327" i="6" s="1"/>
  <c r="J328" i="6"/>
  <c r="K328" i="6" s="1"/>
  <c r="J329" i="6"/>
  <c r="K329" i="6" s="1"/>
  <c r="J330" i="6"/>
  <c r="K330" i="6" s="1"/>
  <c r="J331" i="6"/>
  <c r="K331" i="6" s="1"/>
  <c r="J332" i="6"/>
  <c r="K332" i="6" s="1"/>
  <c r="J333" i="6"/>
  <c r="K333" i="6" s="1"/>
  <c r="J334" i="6"/>
  <c r="K334" i="6" s="1"/>
  <c r="J335" i="6"/>
  <c r="K335" i="6" s="1"/>
  <c r="J336" i="6"/>
  <c r="K336" i="6" s="1"/>
  <c r="J337" i="6"/>
  <c r="K337" i="6" s="1"/>
  <c r="J338" i="6"/>
  <c r="K338" i="6" s="1"/>
  <c r="J339" i="6"/>
  <c r="K339" i="6" s="1"/>
  <c r="J340" i="6"/>
  <c r="K340" i="6" s="1"/>
  <c r="J341" i="6"/>
  <c r="K341" i="6" s="1"/>
  <c r="J342" i="6"/>
  <c r="K342" i="6" s="1"/>
  <c r="J343" i="6"/>
  <c r="K343" i="6" s="1"/>
  <c r="J344" i="6"/>
  <c r="K344" i="6" s="1"/>
  <c r="J345" i="6"/>
  <c r="K345" i="6" s="1"/>
  <c r="J346" i="6"/>
  <c r="K346" i="6" s="1"/>
  <c r="J347" i="6"/>
  <c r="K347" i="6" s="1"/>
  <c r="J348" i="6"/>
  <c r="K348" i="6" s="1"/>
  <c r="J349" i="6"/>
  <c r="K349" i="6" s="1"/>
  <c r="J350" i="6"/>
  <c r="K350" i="6" s="1"/>
  <c r="J351" i="6"/>
  <c r="K351" i="6" s="1"/>
  <c r="J352" i="6"/>
  <c r="K352" i="6" s="1"/>
  <c r="J353" i="6"/>
  <c r="K353" i="6" s="1"/>
  <c r="J354" i="6"/>
  <c r="K354" i="6" s="1"/>
  <c r="J355" i="6"/>
  <c r="K355" i="6" s="1"/>
  <c r="J356" i="6"/>
  <c r="K356" i="6" s="1"/>
  <c r="J357" i="6"/>
  <c r="K357" i="6" s="1"/>
  <c r="J358" i="6"/>
  <c r="K358" i="6" s="1"/>
  <c r="J359" i="6"/>
  <c r="K359" i="6" s="1"/>
  <c r="J360" i="6"/>
  <c r="K360" i="6" s="1"/>
  <c r="J361" i="6"/>
  <c r="K361" i="6" s="1"/>
  <c r="J362" i="6"/>
  <c r="K362" i="6" s="1"/>
  <c r="J363" i="6"/>
  <c r="K363" i="6" s="1"/>
  <c r="J364" i="6"/>
  <c r="K364" i="6" s="1"/>
  <c r="J365" i="6"/>
  <c r="K365" i="6" s="1"/>
  <c r="J366" i="6"/>
  <c r="K366" i="6" s="1"/>
  <c r="J367" i="6"/>
  <c r="K367" i="6" s="1"/>
  <c r="J368" i="6"/>
  <c r="K368" i="6" s="1"/>
  <c r="J369" i="6"/>
  <c r="K369" i="6" s="1"/>
  <c r="J370" i="6"/>
  <c r="K370" i="6" s="1"/>
  <c r="J371" i="6"/>
  <c r="K371" i="6" s="1"/>
  <c r="J372" i="6"/>
  <c r="K372" i="6" s="1"/>
  <c r="J373" i="6"/>
  <c r="K373" i="6" s="1"/>
  <c r="J374" i="6"/>
  <c r="K374" i="6" s="1"/>
  <c r="J375" i="6"/>
  <c r="K375" i="6" s="1"/>
  <c r="J376" i="6"/>
  <c r="K376" i="6" s="1"/>
  <c r="J377" i="6"/>
  <c r="K377" i="6" s="1"/>
  <c r="J378" i="6"/>
  <c r="K378" i="6" s="1"/>
  <c r="J379" i="6"/>
  <c r="K379" i="6" s="1"/>
  <c r="J380" i="6"/>
  <c r="K380" i="6" s="1"/>
  <c r="J381" i="6"/>
  <c r="K381" i="6" s="1"/>
  <c r="J382" i="6"/>
  <c r="K382" i="6" s="1"/>
  <c r="J383" i="6"/>
  <c r="K383" i="6" s="1"/>
  <c r="J384" i="6"/>
  <c r="K384" i="6" s="1"/>
  <c r="J385" i="6"/>
  <c r="K385" i="6" s="1"/>
  <c r="J386" i="6"/>
  <c r="K386" i="6" s="1"/>
  <c r="J387" i="6"/>
  <c r="K387" i="6" s="1"/>
  <c r="J388" i="6"/>
  <c r="K388" i="6" s="1"/>
  <c r="J389" i="6"/>
  <c r="K389" i="6" s="1"/>
  <c r="J390" i="6"/>
  <c r="K390" i="6" s="1"/>
  <c r="J391" i="6"/>
  <c r="K391" i="6" s="1"/>
  <c r="J392" i="6"/>
  <c r="K392" i="6" s="1"/>
  <c r="J393" i="6"/>
  <c r="K393" i="6" s="1"/>
  <c r="J394" i="6"/>
  <c r="K394" i="6" s="1"/>
  <c r="J395" i="6"/>
  <c r="K395" i="6" s="1"/>
  <c r="J396" i="6"/>
  <c r="K396" i="6" s="1"/>
  <c r="J397" i="6"/>
  <c r="K397" i="6" s="1"/>
  <c r="J398" i="6"/>
  <c r="K398" i="6" s="1"/>
  <c r="J399" i="6"/>
  <c r="K399" i="6" s="1"/>
  <c r="J400" i="6"/>
  <c r="K400" i="6" s="1"/>
  <c r="J401" i="6"/>
  <c r="K401" i="6" s="1"/>
  <c r="J402" i="6"/>
  <c r="K402" i="6" s="1"/>
  <c r="J403" i="6"/>
  <c r="K403" i="6" s="1"/>
  <c r="J404" i="6"/>
  <c r="K404" i="6" s="1"/>
  <c r="J405" i="6"/>
  <c r="K405" i="6" s="1"/>
  <c r="J406" i="6"/>
  <c r="K406" i="6" s="1"/>
  <c r="J407" i="6"/>
  <c r="K407" i="6" s="1"/>
  <c r="J408" i="6"/>
  <c r="K408" i="6" s="1"/>
  <c r="J409" i="6"/>
  <c r="K409" i="6" s="1"/>
  <c r="J410" i="6"/>
  <c r="K410" i="6" s="1"/>
  <c r="J411" i="6"/>
  <c r="K411" i="6" s="1"/>
  <c r="J412" i="6"/>
  <c r="K412" i="6" s="1"/>
  <c r="J413" i="6"/>
  <c r="K413" i="6" s="1"/>
  <c r="J414" i="6"/>
  <c r="K414" i="6" s="1"/>
  <c r="J415" i="6"/>
  <c r="K415" i="6" s="1"/>
  <c r="J416" i="6"/>
  <c r="K416" i="6" s="1"/>
  <c r="J417" i="6"/>
  <c r="K417" i="6" s="1"/>
  <c r="J418" i="6"/>
  <c r="K418" i="6" s="1"/>
  <c r="J419" i="6"/>
  <c r="K419" i="6" s="1"/>
  <c r="J420" i="6"/>
  <c r="K420" i="6" s="1"/>
  <c r="J421" i="6"/>
  <c r="K421" i="6" s="1"/>
  <c r="J422" i="6"/>
  <c r="K422" i="6" s="1"/>
  <c r="J423" i="6"/>
  <c r="K423" i="6" s="1"/>
  <c r="J424" i="6"/>
  <c r="K424" i="6" s="1"/>
  <c r="J425" i="6"/>
  <c r="K425" i="6" s="1"/>
  <c r="J426" i="6"/>
  <c r="K426" i="6" s="1"/>
  <c r="J427" i="6"/>
  <c r="K427" i="6" s="1"/>
  <c r="J428" i="6"/>
  <c r="K428" i="6" s="1"/>
  <c r="J429" i="6"/>
  <c r="K429" i="6" s="1"/>
  <c r="J430" i="6"/>
  <c r="K430" i="6" s="1"/>
  <c r="J431" i="6"/>
  <c r="K431" i="6" s="1"/>
  <c r="J432" i="6"/>
  <c r="K432" i="6" s="1"/>
  <c r="J433" i="6"/>
  <c r="K433" i="6" s="1"/>
  <c r="J434" i="6"/>
  <c r="K434" i="6" s="1"/>
  <c r="J435" i="6"/>
  <c r="K435" i="6" s="1"/>
  <c r="J436" i="6"/>
  <c r="K436" i="6" s="1"/>
  <c r="J437" i="6"/>
  <c r="K437" i="6" s="1"/>
  <c r="J438" i="6"/>
  <c r="K438" i="6" s="1"/>
  <c r="J439" i="6"/>
  <c r="K439" i="6" s="1"/>
  <c r="J440" i="6"/>
  <c r="K440" i="6" s="1"/>
  <c r="J441" i="6"/>
  <c r="K441" i="6" s="1"/>
  <c r="J442" i="6"/>
  <c r="K442" i="6" s="1"/>
  <c r="J443" i="6"/>
  <c r="K443" i="6" s="1"/>
  <c r="J444" i="6"/>
  <c r="K444" i="6" s="1"/>
  <c r="J445" i="6"/>
  <c r="K445" i="6" s="1"/>
  <c r="J446" i="6"/>
  <c r="K446" i="6" s="1"/>
  <c r="J447" i="6"/>
  <c r="K447" i="6" s="1"/>
  <c r="J448" i="6"/>
  <c r="K448" i="6" s="1"/>
  <c r="J449" i="6"/>
  <c r="K449" i="6" s="1"/>
  <c r="J450" i="6"/>
  <c r="K450" i="6" s="1"/>
  <c r="J451" i="6"/>
  <c r="K451" i="6" s="1"/>
  <c r="J452" i="6"/>
  <c r="K452" i="6" s="1"/>
  <c r="J453" i="6"/>
  <c r="K453" i="6" s="1"/>
  <c r="J454" i="6"/>
  <c r="K454" i="6" s="1"/>
  <c r="J455" i="6"/>
  <c r="K455" i="6" s="1"/>
  <c r="J456" i="6"/>
  <c r="K456" i="6" s="1"/>
  <c r="J457" i="6"/>
  <c r="K457" i="6" s="1"/>
  <c r="J458" i="6"/>
  <c r="K458" i="6" s="1"/>
  <c r="J459" i="6"/>
  <c r="K459" i="6" s="1"/>
  <c r="J460" i="6"/>
  <c r="K460" i="6" s="1"/>
  <c r="J461" i="6"/>
  <c r="K461" i="6" s="1"/>
  <c r="J462" i="6"/>
  <c r="K462" i="6" s="1"/>
  <c r="J463" i="6"/>
  <c r="K463" i="6" s="1"/>
  <c r="J464" i="6"/>
  <c r="K464" i="6" s="1"/>
  <c r="J465" i="6"/>
  <c r="K465" i="6" s="1"/>
  <c r="J466" i="6"/>
  <c r="K466" i="6" s="1"/>
  <c r="J467" i="6"/>
  <c r="K467" i="6" s="1"/>
  <c r="J468" i="6"/>
  <c r="K468" i="6" s="1"/>
  <c r="J469" i="6"/>
  <c r="K469" i="6" s="1"/>
  <c r="J470" i="6"/>
  <c r="K470" i="6" s="1"/>
  <c r="J471" i="6"/>
  <c r="K471" i="6" s="1"/>
  <c r="J472" i="6"/>
  <c r="K472" i="6" s="1"/>
  <c r="J473" i="6"/>
  <c r="K473" i="6" s="1"/>
  <c r="J474" i="6"/>
  <c r="K474" i="6" s="1"/>
  <c r="J475" i="6"/>
  <c r="K475" i="6" s="1"/>
  <c r="J476" i="6"/>
  <c r="K476" i="6" s="1"/>
  <c r="J477" i="6"/>
  <c r="K477" i="6" s="1"/>
  <c r="J478" i="6"/>
  <c r="K478" i="6" s="1"/>
  <c r="J479" i="6"/>
  <c r="K479" i="6" s="1"/>
  <c r="J480" i="6"/>
  <c r="K480" i="6" s="1"/>
  <c r="J481" i="6"/>
  <c r="K481" i="6" s="1"/>
  <c r="J482" i="6"/>
  <c r="K482" i="6" s="1"/>
  <c r="J483" i="6"/>
  <c r="K483" i="6" s="1"/>
  <c r="J484" i="6"/>
  <c r="K484" i="6" s="1"/>
  <c r="J485" i="6"/>
  <c r="K485" i="6" s="1"/>
  <c r="J486" i="6"/>
  <c r="K486" i="6" s="1"/>
  <c r="J487" i="6"/>
  <c r="K487" i="6" s="1"/>
  <c r="J488" i="6"/>
  <c r="K488" i="6" s="1"/>
  <c r="J489" i="6"/>
  <c r="K489" i="6" s="1"/>
  <c r="J490" i="6"/>
  <c r="K490" i="6" s="1"/>
  <c r="J491" i="6"/>
  <c r="K491" i="6" s="1"/>
  <c r="J492" i="6"/>
  <c r="K492" i="6" s="1"/>
  <c r="J493" i="6"/>
  <c r="K493" i="6" s="1"/>
  <c r="J494" i="6"/>
  <c r="K494" i="6" s="1"/>
  <c r="J495" i="6"/>
  <c r="K495" i="6" s="1"/>
  <c r="J496" i="6"/>
  <c r="K496" i="6" s="1"/>
  <c r="J497" i="6"/>
  <c r="K497" i="6" s="1"/>
  <c r="J498" i="6"/>
  <c r="K498" i="6" s="1"/>
  <c r="J499" i="6"/>
  <c r="K499" i="6" s="1"/>
  <c r="J500" i="6"/>
  <c r="K500" i="6" s="1"/>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I502" i="6"/>
  <c r="K502" i="6" s="1"/>
  <c r="I503" i="6"/>
  <c r="K503" i="6" s="1"/>
  <c r="I504" i="6"/>
  <c r="K504" i="6" s="1"/>
  <c r="I505" i="6"/>
  <c r="K505" i="6" s="1"/>
  <c r="I506" i="6"/>
  <c r="K506" i="6" s="1"/>
  <c r="I507" i="6"/>
  <c r="K507" i="6" s="1"/>
  <c r="I508" i="6"/>
  <c r="K508" i="6" s="1"/>
  <c r="I509" i="6"/>
  <c r="K509" i="6" s="1"/>
  <c r="I510" i="6"/>
  <c r="K510" i="6" s="1"/>
  <c r="I511" i="6"/>
  <c r="K511" i="6" s="1"/>
  <c r="I512" i="6"/>
  <c r="K512" i="6" s="1"/>
  <c r="I513" i="6"/>
  <c r="K513" i="6" s="1"/>
  <c r="I514" i="6"/>
  <c r="K514" i="6" s="1"/>
  <c r="I515" i="6"/>
  <c r="K515" i="6" s="1"/>
  <c r="I516" i="6"/>
  <c r="K516" i="6" s="1"/>
  <c r="I517" i="6"/>
  <c r="K517" i="6" s="1"/>
  <c r="I518" i="6"/>
  <c r="K518" i="6" s="1"/>
  <c r="I519" i="6"/>
  <c r="K519" i="6" s="1"/>
  <c r="I520" i="6"/>
  <c r="K520" i="6" s="1"/>
  <c r="I521" i="6"/>
  <c r="K521" i="6" s="1"/>
  <c r="I522" i="6"/>
  <c r="K522" i="6" s="1"/>
  <c r="I523" i="6"/>
  <c r="K523" i="6" s="1"/>
  <c r="I524" i="6"/>
  <c r="K524" i="6" s="1"/>
  <c r="I525" i="6"/>
  <c r="K525" i="6" s="1"/>
  <c r="I526" i="6"/>
  <c r="K526" i="6" s="1"/>
  <c r="I527" i="6"/>
  <c r="K527" i="6" s="1"/>
  <c r="I528" i="6"/>
  <c r="K528" i="6" s="1"/>
  <c r="I529" i="6"/>
  <c r="K529" i="6" s="1"/>
  <c r="I530" i="6"/>
  <c r="K530" i="6" s="1"/>
  <c r="I531" i="6"/>
  <c r="K531" i="6" s="1"/>
  <c r="I532" i="6"/>
  <c r="K532" i="6" s="1"/>
  <c r="I533" i="6"/>
  <c r="K533" i="6" s="1"/>
  <c r="I534" i="6"/>
  <c r="K534" i="6" s="1"/>
  <c r="I535" i="6"/>
  <c r="K535" i="6" s="1"/>
  <c r="I536" i="6"/>
  <c r="K536" i="6" s="1"/>
  <c r="I537" i="6"/>
  <c r="K537" i="6" s="1"/>
  <c r="I538" i="6"/>
  <c r="K538" i="6" s="1"/>
  <c r="I539" i="6"/>
  <c r="K539" i="6" s="1"/>
  <c r="I540" i="6"/>
  <c r="K540" i="6" s="1"/>
  <c r="I541" i="6"/>
  <c r="K541" i="6" s="1"/>
  <c r="I542" i="6"/>
  <c r="K542" i="6" s="1"/>
  <c r="I543" i="6"/>
  <c r="K543" i="6" s="1"/>
  <c r="I544" i="6"/>
  <c r="K544" i="6" s="1"/>
  <c r="I545" i="6"/>
  <c r="K545" i="6" s="1"/>
  <c r="I546" i="6"/>
  <c r="K546" i="6" s="1"/>
  <c r="I547" i="6"/>
  <c r="K547" i="6" s="1"/>
  <c r="I548" i="6"/>
  <c r="K548" i="6" s="1"/>
  <c r="I549" i="6"/>
  <c r="K549" i="6" s="1"/>
  <c r="I550" i="6"/>
  <c r="K550" i="6" s="1"/>
  <c r="I551" i="6"/>
  <c r="K551" i="6" s="1"/>
  <c r="I552" i="6"/>
  <c r="K552" i="6" s="1"/>
  <c r="I553" i="6"/>
  <c r="K553" i="6" s="1"/>
  <c r="I554" i="6"/>
  <c r="K554" i="6" s="1"/>
  <c r="I555" i="6"/>
  <c r="K555" i="6" s="1"/>
  <c r="I556" i="6"/>
  <c r="K556" i="6" s="1"/>
  <c r="I557" i="6"/>
  <c r="K557" i="6" s="1"/>
  <c r="I558" i="6"/>
  <c r="K558" i="6" s="1"/>
  <c r="I559" i="6"/>
  <c r="K559" i="6" s="1"/>
  <c r="I560" i="6"/>
  <c r="K560" i="6" s="1"/>
  <c r="I561" i="6"/>
  <c r="K561" i="6" s="1"/>
  <c r="I562" i="6"/>
  <c r="K562" i="6" s="1"/>
  <c r="I563" i="6"/>
  <c r="K563" i="6" s="1"/>
  <c r="I564" i="6"/>
  <c r="K564" i="6" s="1"/>
  <c r="I565" i="6"/>
  <c r="K565" i="6" s="1"/>
  <c r="I566" i="6"/>
  <c r="K566" i="6" s="1"/>
  <c r="I567" i="6"/>
  <c r="K567" i="6" s="1"/>
  <c r="I568" i="6"/>
  <c r="K568" i="6" s="1"/>
  <c r="I569" i="6"/>
  <c r="K569" i="6" s="1"/>
  <c r="I570" i="6"/>
  <c r="K570" i="6" s="1"/>
  <c r="I571" i="6"/>
  <c r="K571" i="6" s="1"/>
  <c r="I572" i="6"/>
  <c r="K572" i="6" s="1"/>
  <c r="I573" i="6"/>
  <c r="K573" i="6" s="1"/>
  <c r="I574" i="6"/>
  <c r="K574" i="6" s="1"/>
  <c r="I575" i="6"/>
  <c r="K575" i="6" s="1"/>
  <c r="I576" i="6"/>
  <c r="K576" i="6" s="1"/>
  <c r="I577" i="6"/>
  <c r="K577" i="6" s="1"/>
  <c r="I578" i="6"/>
  <c r="K578" i="6" s="1"/>
  <c r="I579" i="6"/>
  <c r="K579" i="6" s="1"/>
  <c r="I580" i="6"/>
  <c r="K580" i="6" s="1"/>
  <c r="I581" i="6"/>
  <c r="K581" i="6" s="1"/>
  <c r="I582" i="6"/>
  <c r="K582" i="6" s="1"/>
  <c r="I583" i="6"/>
  <c r="K583" i="6" s="1"/>
  <c r="I584" i="6"/>
  <c r="K584" i="6" s="1"/>
  <c r="I585" i="6"/>
  <c r="K585" i="6" s="1"/>
  <c r="I586" i="6"/>
  <c r="K586" i="6" s="1"/>
  <c r="I587" i="6"/>
  <c r="K587" i="6" s="1"/>
  <c r="I588" i="6"/>
  <c r="K588" i="6" s="1"/>
  <c r="I589" i="6"/>
  <c r="K589" i="6" s="1"/>
  <c r="I590" i="6"/>
  <c r="K590" i="6" s="1"/>
  <c r="I591" i="6"/>
  <c r="K591" i="6" s="1"/>
  <c r="I592" i="6"/>
  <c r="K592" i="6" s="1"/>
  <c r="I593" i="6"/>
  <c r="K593" i="6" s="1"/>
  <c r="I594" i="6"/>
  <c r="K594" i="6" s="1"/>
  <c r="I595" i="6"/>
  <c r="K595" i="6" s="1"/>
  <c r="I596" i="6"/>
  <c r="K596" i="6" s="1"/>
  <c r="I597" i="6"/>
  <c r="K597" i="6" s="1"/>
  <c r="I598" i="6"/>
  <c r="K598" i="6" s="1"/>
  <c r="I599" i="6"/>
  <c r="K599" i="6" s="1"/>
  <c r="I600" i="6"/>
  <c r="K600" i="6" s="1"/>
  <c r="I601" i="6"/>
  <c r="K601" i="6" s="1"/>
  <c r="I602" i="6"/>
  <c r="K602" i="6" s="1"/>
  <c r="I603" i="6"/>
  <c r="K603" i="6" s="1"/>
  <c r="I604" i="6"/>
  <c r="K604" i="6" s="1"/>
  <c r="I605" i="6"/>
  <c r="K605" i="6" s="1"/>
  <c r="I606" i="6"/>
  <c r="K606" i="6" s="1"/>
  <c r="I607" i="6"/>
  <c r="K607" i="6" s="1"/>
  <c r="I608" i="6"/>
  <c r="K608" i="6" s="1"/>
  <c r="I609" i="6"/>
  <c r="K609" i="6" s="1"/>
  <c r="I610" i="6"/>
  <c r="K610" i="6" s="1"/>
  <c r="I611" i="6"/>
  <c r="K611" i="6" s="1"/>
  <c r="I612" i="6"/>
  <c r="K612" i="6" s="1"/>
  <c r="I613" i="6"/>
  <c r="K613" i="6" s="1"/>
  <c r="I614" i="6"/>
  <c r="K614" i="6" s="1"/>
  <c r="I615" i="6"/>
  <c r="K615" i="6" s="1"/>
  <c r="I616" i="6"/>
  <c r="K616" i="6" s="1"/>
  <c r="I617" i="6"/>
  <c r="K617" i="6" s="1"/>
  <c r="I618" i="6"/>
  <c r="K618" i="6" s="1"/>
  <c r="I619" i="6"/>
  <c r="K619" i="6" s="1"/>
  <c r="I620" i="6"/>
  <c r="K620" i="6" s="1"/>
  <c r="I621" i="6"/>
  <c r="K621" i="6" s="1"/>
  <c r="I622" i="6"/>
  <c r="K622" i="6" s="1"/>
  <c r="I623" i="6"/>
  <c r="K623" i="6" s="1"/>
  <c r="I624" i="6"/>
  <c r="K624" i="6" s="1"/>
  <c r="I625" i="6"/>
  <c r="K625" i="6" s="1"/>
  <c r="I626" i="6"/>
  <c r="K626" i="6" s="1"/>
  <c r="I627" i="6"/>
  <c r="K627" i="6" s="1"/>
  <c r="I628" i="6"/>
  <c r="K628" i="6" s="1"/>
  <c r="I629" i="6"/>
  <c r="K629" i="6" s="1"/>
  <c r="I630" i="6"/>
  <c r="K630" i="6" s="1"/>
  <c r="I631" i="6"/>
  <c r="K631" i="6" s="1"/>
  <c r="I632" i="6"/>
  <c r="K632" i="6" s="1"/>
  <c r="I633" i="6"/>
  <c r="K633" i="6" s="1"/>
  <c r="I634" i="6"/>
  <c r="K634" i="6" s="1"/>
  <c r="I635" i="6"/>
  <c r="K635" i="6" s="1"/>
  <c r="I636" i="6"/>
  <c r="K636" i="6" s="1"/>
  <c r="I637" i="6"/>
  <c r="K637" i="6" s="1"/>
  <c r="I638" i="6"/>
  <c r="K638" i="6" s="1"/>
  <c r="I639" i="6"/>
  <c r="K639" i="6" s="1"/>
  <c r="I640" i="6"/>
  <c r="K640" i="6" s="1"/>
  <c r="I641" i="6"/>
  <c r="K641" i="6" s="1"/>
  <c r="I642" i="6"/>
  <c r="K642" i="6" s="1"/>
  <c r="I643" i="6"/>
  <c r="K643" i="6" s="1"/>
  <c r="I644" i="6"/>
  <c r="K644" i="6" s="1"/>
  <c r="I645" i="6"/>
  <c r="K645" i="6" s="1"/>
  <c r="I646" i="6"/>
  <c r="K646" i="6" s="1"/>
  <c r="I647" i="6"/>
  <c r="K647" i="6" s="1"/>
  <c r="I648" i="6"/>
  <c r="K648" i="6" s="1"/>
  <c r="I649" i="6"/>
  <c r="K649" i="6" s="1"/>
  <c r="I650" i="6"/>
  <c r="K650" i="6" s="1"/>
  <c r="I651" i="6"/>
  <c r="K651" i="6" s="1"/>
  <c r="I652" i="6"/>
  <c r="K652" i="6" s="1"/>
  <c r="I653" i="6"/>
  <c r="K653" i="6" s="1"/>
  <c r="I654" i="6"/>
  <c r="K654" i="6" s="1"/>
  <c r="I655" i="6"/>
  <c r="K655" i="6" s="1"/>
  <c r="I656" i="6"/>
  <c r="K656" i="6" s="1"/>
  <c r="I657" i="6"/>
  <c r="K657" i="6" s="1"/>
  <c r="I658" i="6"/>
  <c r="K658" i="6" s="1"/>
  <c r="I659" i="6"/>
  <c r="K659" i="6" s="1"/>
  <c r="I660" i="6"/>
  <c r="K660" i="6" s="1"/>
  <c r="I661" i="6"/>
  <c r="K661" i="6" s="1"/>
  <c r="I662" i="6"/>
  <c r="K662" i="6" s="1"/>
  <c r="I663" i="6"/>
  <c r="K663" i="6" s="1"/>
  <c r="I664" i="6"/>
  <c r="K664" i="6" s="1"/>
  <c r="I665" i="6"/>
  <c r="K665" i="6" s="1"/>
  <c r="I666" i="6"/>
  <c r="K666" i="6" s="1"/>
  <c r="I667" i="6"/>
  <c r="K667" i="6" s="1"/>
  <c r="I668" i="6"/>
  <c r="K668" i="6" s="1"/>
  <c r="I669" i="6"/>
  <c r="K669" i="6" s="1"/>
  <c r="I670" i="6"/>
  <c r="K670" i="6" s="1"/>
  <c r="I671" i="6"/>
  <c r="K671" i="6" s="1"/>
  <c r="I672" i="6"/>
  <c r="K672" i="6" s="1"/>
  <c r="I673" i="6"/>
  <c r="K673" i="6" s="1"/>
  <c r="I674" i="6"/>
  <c r="K674" i="6" s="1"/>
  <c r="I675" i="6"/>
  <c r="K675" i="6" s="1"/>
  <c r="I676" i="6"/>
  <c r="K676" i="6" s="1"/>
  <c r="I677" i="6"/>
  <c r="K677" i="6" s="1"/>
  <c r="I678" i="6"/>
  <c r="K678" i="6" s="1"/>
  <c r="I679" i="6"/>
  <c r="K679" i="6" s="1"/>
  <c r="I680" i="6"/>
  <c r="K680" i="6" s="1"/>
  <c r="I681" i="6"/>
  <c r="K681" i="6" s="1"/>
  <c r="I682" i="6"/>
  <c r="K682" i="6" s="1"/>
  <c r="I683" i="6"/>
  <c r="K683" i="6" s="1"/>
  <c r="I684" i="6"/>
  <c r="K684" i="6" s="1"/>
  <c r="I685" i="6"/>
  <c r="K685" i="6" s="1"/>
  <c r="I686" i="6"/>
  <c r="K686" i="6" s="1"/>
  <c r="I687" i="6"/>
  <c r="K687" i="6" s="1"/>
  <c r="I688" i="6"/>
  <c r="K688" i="6" s="1"/>
  <c r="I689" i="6"/>
  <c r="K689" i="6" s="1"/>
  <c r="I690" i="6"/>
  <c r="K690" i="6" s="1"/>
  <c r="I691" i="6"/>
  <c r="K691" i="6" s="1"/>
  <c r="I692" i="6"/>
  <c r="K692" i="6" s="1"/>
  <c r="I693" i="6"/>
  <c r="K693" i="6" s="1"/>
  <c r="I694" i="6"/>
  <c r="K694" i="6" s="1"/>
  <c r="I695" i="6"/>
  <c r="K695" i="6" s="1"/>
  <c r="I696" i="6"/>
  <c r="K696" i="6" s="1"/>
  <c r="I697" i="6"/>
  <c r="K697" i="6" s="1"/>
  <c r="I698" i="6"/>
  <c r="K698" i="6" s="1"/>
  <c r="I699" i="6"/>
  <c r="K699" i="6" s="1"/>
  <c r="I700" i="6"/>
  <c r="K700" i="6" s="1"/>
  <c r="I701" i="6"/>
  <c r="K701" i="6" s="1"/>
  <c r="I702" i="6"/>
  <c r="K702" i="6" s="1"/>
  <c r="I703" i="6"/>
  <c r="K703" i="6" s="1"/>
  <c r="I704" i="6"/>
  <c r="K704" i="6" s="1"/>
  <c r="I705" i="6"/>
  <c r="K705" i="6" s="1"/>
  <c r="I706" i="6"/>
  <c r="K706" i="6" s="1"/>
  <c r="I707" i="6"/>
  <c r="K707" i="6" s="1"/>
  <c r="I708" i="6"/>
  <c r="K708" i="6" s="1"/>
  <c r="I709" i="6"/>
  <c r="K709" i="6" s="1"/>
  <c r="I710" i="6"/>
  <c r="K710" i="6" s="1"/>
  <c r="I711" i="6"/>
  <c r="K711" i="6" s="1"/>
  <c r="I712" i="6"/>
  <c r="K712" i="6" s="1"/>
  <c r="I713" i="6"/>
  <c r="K713" i="6" s="1"/>
  <c r="I714" i="6"/>
  <c r="K714" i="6" s="1"/>
  <c r="I715" i="6"/>
  <c r="K715" i="6" s="1"/>
  <c r="I716" i="6"/>
  <c r="K716" i="6" s="1"/>
  <c r="I717" i="6"/>
  <c r="K717" i="6" s="1"/>
  <c r="I718" i="6"/>
  <c r="K718" i="6" s="1"/>
  <c r="I719" i="6"/>
  <c r="K719" i="6" s="1"/>
  <c r="I720" i="6"/>
  <c r="K720" i="6" s="1"/>
  <c r="I721" i="6"/>
  <c r="K721" i="6" s="1"/>
  <c r="I722" i="6"/>
  <c r="K722" i="6" s="1"/>
  <c r="I723" i="6"/>
  <c r="K723" i="6" s="1"/>
  <c r="I724" i="6"/>
  <c r="K724" i="6" s="1"/>
  <c r="I725" i="6"/>
  <c r="K725" i="6" s="1"/>
  <c r="I726" i="6"/>
  <c r="K726" i="6" s="1"/>
  <c r="I727" i="6"/>
  <c r="K727" i="6" s="1"/>
  <c r="I728" i="6"/>
  <c r="K728" i="6" s="1"/>
  <c r="I729" i="6"/>
  <c r="K729" i="6" s="1"/>
  <c r="I730" i="6"/>
  <c r="K730" i="6" s="1"/>
  <c r="I731" i="6"/>
  <c r="K731" i="6" s="1"/>
  <c r="I732" i="6"/>
  <c r="K732" i="6" s="1"/>
  <c r="I733" i="6"/>
  <c r="K733" i="6" s="1"/>
  <c r="I734" i="6"/>
  <c r="K734" i="6" s="1"/>
  <c r="I735" i="6"/>
  <c r="K735" i="6" s="1"/>
  <c r="I736" i="6"/>
  <c r="K736" i="6" s="1"/>
  <c r="I737" i="6"/>
  <c r="K737" i="6" s="1"/>
  <c r="I738" i="6"/>
  <c r="K738" i="6" s="1"/>
  <c r="I739" i="6"/>
  <c r="K739" i="6" s="1"/>
  <c r="I740" i="6"/>
  <c r="K740" i="6" s="1"/>
  <c r="I741" i="6"/>
  <c r="K741" i="6" s="1"/>
  <c r="I742" i="6"/>
  <c r="K742" i="6" s="1"/>
  <c r="I743" i="6"/>
  <c r="K743" i="6" s="1"/>
  <c r="I744" i="6"/>
  <c r="K744" i="6" s="1"/>
  <c r="I745" i="6"/>
  <c r="K745" i="6" s="1"/>
  <c r="I746" i="6"/>
  <c r="K746" i="6" s="1"/>
  <c r="I747" i="6"/>
  <c r="K747" i="6" s="1"/>
  <c r="I748" i="6"/>
  <c r="K748" i="6" s="1"/>
  <c r="I749" i="6"/>
  <c r="K749" i="6" s="1"/>
  <c r="I750" i="6"/>
  <c r="K750" i="6" s="1"/>
  <c r="I751" i="6"/>
  <c r="K751" i="6" s="1"/>
  <c r="I752" i="6"/>
  <c r="K752" i="6" s="1"/>
  <c r="I753" i="6"/>
  <c r="K753" i="6" s="1"/>
  <c r="I754" i="6"/>
  <c r="K754" i="6" s="1"/>
  <c r="I755" i="6"/>
  <c r="K755" i="6" s="1"/>
  <c r="I756" i="6"/>
  <c r="K756" i="6" s="1"/>
  <c r="I757" i="6"/>
  <c r="K757" i="6" s="1"/>
  <c r="I758" i="6"/>
  <c r="K758" i="6" s="1"/>
  <c r="I759" i="6"/>
  <c r="K759" i="6" s="1"/>
  <c r="I760" i="6"/>
  <c r="K760" i="6" s="1"/>
  <c r="I761" i="6"/>
  <c r="K761" i="6" s="1"/>
  <c r="I762" i="6"/>
  <c r="K762" i="6" s="1"/>
  <c r="I763" i="6"/>
  <c r="K763" i="6" s="1"/>
  <c r="I764" i="6"/>
  <c r="K764" i="6" s="1"/>
  <c r="I765" i="6"/>
  <c r="K765" i="6" s="1"/>
  <c r="I766" i="6"/>
  <c r="K766" i="6" s="1"/>
  <c r="I767" i="6"/>
  <c r="K767" i="6" s="1"/>
  <c r="I768" i="6"/>
  <c r="K768" i="6" s="1"/>
  <c r="I769" i="6"/>
  <c r="K769" i="6" s="1"/>
  <c r="I770" i="6"/>
  <c r="K770" i="6" s="1"/>
  <c r="I771" i="6"/>
  <c r="K771" i="6" s="1"/>
  <c r="I772" i="6"/>
  <c r="K772" i="6" s="1"/>
  <c r="I773" i="6"/>
  <c r="K773" i="6" s="1"/>
  <c r="I774" i="6"/>
  <c r="K774" i="6" s="1"/>
  <c r="I775" i="6"/>
  <c r="K775" i="6" s="1"/>
  <c r="I776" i="6"/>
  <c r="K776" i="6" s="1"/>
  <c r="I777" i="6"/>
  <c r="K777" i="6" s="1"/>
  <c r="I778" i="6"/>
  <c r="K778" i="6" s="1"/>
  <c r="I779" i="6"/>
  <c r="K779" i="6" s="1"/>
  <c r="I780" i="6"/>
  <c r="K780" i="6" s="1"/>
  <c r="I781" i="6"/>
  <c r="K781" i="6" s="1"/>
  <c r="I782" i="6"/>
  <c r="K782" i="6" s="1"/>
  <c r="I783" i="6"/>
  <c r="K783" i="6" s="1"/>
  <c r="I784" i="6"/>
  <c r="K784" i="6" s="1"/>
  <c r="I785" i="6"/>
  <c r="K785" i="6" s="1"/>
  <c r="I786" i="6"/>
  <c r="K786" i="6" s="1"/>
  <c r="I787" i="6"/>
  <c r="K787" i="6" s="1"/>
  <c r="I788" i="6"/>
  <c r="K788" i="6" s="1"/>
  <c r="I789" i="6"/>
  <c r="K789" i="6" s="1"/>
  <c r="I790" i="6"/>
  <c r="K790" i="6" s="1"/>
  <c r="I791" i="6"/>
  <c r="K791" i="6" s="1"/>
  <c r="I792" i="6"/>
  <c r="K792" i="6" s="1"/>
  <c r="I793" i="6"/>
  <c r="K793" i="6" s="1"/>
  <c r="I794" i="6"/>
  <c r="K794" i="6" s="1"/>
  <c r="I795" i="6"/>
  <c r="K795" i="6" s="1"/>
  <c r="I501" i="6"/>
  <c r="K501" i="6" s="1"/>
  <c r="C3" i="16"/>
  <c r="D3" i="16"/>
  <c r="B3" i="16"/>
  <c r="A3"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7" minRefreshableVersion="5">
    <extLst>
      <ext xmlns:x15="http://schemas.microsoft.com/office/spreadsheetml/2010/11/main" uri="{DE250136-89BD-433C-8126-D09CA5730AF9}">
        <x15:connection id="Table1">
          <x15:rangePr sourceName="_xlcn.WorksheetConnection_DataModellingClassWorkbook.xlsxTable1"/>
        </x15:connection>
      </ext>
    </extLst>
  </connection>
  <connection id="3" xr16:uid="{586A7FB4-47D2-4E30-9627-B598CE2D9C88}" name="WorksheetConnection_Data Modelling - Class Workbook.xlsx!Table2" type="102" refreshedVersion="7" minRefreshableVersion="5">
    <extLst>
      <ext xmlns:x15="http://schemas.microsoft.com/office/spreadsheetml/2010/11/main" uri="{DE250136-89BD-433C-8126-D09CA5730AF9}">
        <x15:connection id="Table2">
          <x15:rangePr sourceName="_xlcn.WorksheetConnection_DataModellingClassWorkbook.xlsxTable2"/>
        </x15:connection>
      </ext>
    </extLst>
  </connection>
  <connection id="4" xr16:uid="{6E9E0FE1-A387-4597-BAAA-901B5C121C45}" name="WorksheetConnection_Data Modelling - Class Workbook.xlsx!Table3" type="102" refreshedVersion="7" minRefreshableVersion="5">
    <extLst>
      <ext xmlns:x15="http://schemas.microsoft.com/office/spreadsheetml/2010/11/main" uri="{DE250136-89BD-433C-8126-D09CA5730AF9}">
        <x15:connection id="Table3">
          <x15:rangePr sourceName="_xlcn.WorksheetConnection_DataModellingClassWorkbook.xlsxTable3"/>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
        </x15:connection>
      </ext>
    </extLst>
  </connection>
</connections>
</file>

<file path=xl/sharedStrings.xml><?xml version="1.0" encoding="utf-8"?>
<sst xmlns="http://schemas.openxmlformats.org/spreadsheetml/2006/main" count="4034" uniqueCount="844">
  <si>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</si>
  <si>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</si>
  <si>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</si>
  <si>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</si>
  <si>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</si>
  <si>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</si>
  <si>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</si>
  <si>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</si>
  <si>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</si>
  <si>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</si>
  <si>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</si>
  <si>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</si>
  <si>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</si>
  <si>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</si>
  <si>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</si>
  <si>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</si>
  <si>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</si>
  <si>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</si>
  <si>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</si>
  <si>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</si>
  <si>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</si>
  <si>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</si>
  <si>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</si>
  <si>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</si>
  <si>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</si>
  <si>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</si>
  <si>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</si>
  <si>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</si>
  <si>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</si>
  <si>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</si>
  <si>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</si>
  <si>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</si>
  <si>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</si>
  <si>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</si>
  <si>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</si>
  <si>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</si>
  <si>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</si>
  <si>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</si>
  <si>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</si>
  <si>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</si>
  <si>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</si>
  <si>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</si>
  <si>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</si>
  <si>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</si>
  <si>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</si>
  <si>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</si>
  <si>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</si>
  <si>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</si>
  <si>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</si>
  <si>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</si>
  <si>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</si>
  <si>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</si>
  <si>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</si>
  <si>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</si>
  <si>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</si>
  <si>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</si>
  <si>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</si>
  <si>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</si>
  <si>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</si>
  <si>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</si>
  <si>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</si>
  <si>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</si>
  <si>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</si>
  <si>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</si>
  <si>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</si>
  <si>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</si>
  <si>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</si>
  <si>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</si>
  <si>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</si>
  <si>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</si>
  <si>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</si>
  <si>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</si>
  <si>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</si>
  <si>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</si>
  <si>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</si>
  <si>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</si>
  <si>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</si>
  <si>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</si>
  <si>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</si>
  <si>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</si>
  <si>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</si>
  <si>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</si>
  <si>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</si>
  <si>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</si>
  <si>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</si>
  <si>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</si>
  <si>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</si>
  <si>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</si>
  <si>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</si>
  <si>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</si>
  <si>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</si>
  <si>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</si>
  <si>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</si>
  <si>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</si>
  <si>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</si>
  <si>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</si>
  <si>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</si>
  <si>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</si>
  <si>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</si>
  <si>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</si>
  <si>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</si>
  <si>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</si>
  <si>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</si>
  <si>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</si>
  <si>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</si>
  <si>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</si>
  <si>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</si>
  <si>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</si>
  <si>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</si>
  <si>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</si>
  <si>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</si>
  <si>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</si>
  <si>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</si>
  <si>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</si>
  <si>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</si>
  <si>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</si>
  <si>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</si>
  <si>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</si>
  <si>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</si>
  <si>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</si>
  <si>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</si>
  <si>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</si>
  <si>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</si>
  <si>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</si>
  <si>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</si>
  <si>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</si>
  <si>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</si>
  <si>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</si>
  <si>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</si>
  <si>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</si>
  <si>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</si>
  <si>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</si>
  <si>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</si>
  <si>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</si>
  <si>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</si>
  <si>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</si>
  <si>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</si>
  <si>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</si>
  <si>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</si>
  <si>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</si>
  <si>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</si>
  <si>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</si>
  <si>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</si>
  <si>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</si>
  <si>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</si>
  <si>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</si>
  <si>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</si>
  <si>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</si>
  <si>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</si>
  <si>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</si>
  <si>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</si>
  <si>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</si>
  <si>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</si>
  <si>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</si>
  <si>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</si>
  <si>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</si>
  <si>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</si>
  <si>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</si>
  <si>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</si>
  <si>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</si>
  <si>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</si>
  <si>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</si>
  <si>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</si>
  <si>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</si>
  <si>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</si>
  <si>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</si>
  <si>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</si>
  <si>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</si>
  <si>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</si>
  <si>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</si>
  <si>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</si>
  <si>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</si>
  <si>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</si>
  <si>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</si>
  <si>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</si>
  <si>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</si>
  <si>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</si>
  <si>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</si>
  <si>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</si>
  <si>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</si>
  <si>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</si>
  <si>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</si>
  <si>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</si>
  <si>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</si>
  <si>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</si>
  <si>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</si>
  <si>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</si>
  <si>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</si>
  <si>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</si>
  <si>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</si>
  <si>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</si>
  <si>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</si>
  <si>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</si>
  <si>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</si>
  <si>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</si>
  <si>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</si>
  <si>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</si>
  <si>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</si>
  <si>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</si>
  <si>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</si>
  <si>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</si>
  <si>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</si>
  <si>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</si>
  <si>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</si>
  <si>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</si>
  <si>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</si>
  <si>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</si>
  <si>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</si>
  <si>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</si>
  <si>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</si>
  <si>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</si>
  <si>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</si>
  <si>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</si>
  <si>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</si>
  <si>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</si>
  <si>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</si>
  <si>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</si>
  <si>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</si>
  <si>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</si>
  <si>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</si>
  <si>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</si>
  <si>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</si>
  <si>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</si>
  <si>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</si>
  <si>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</si>
  <si>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</si>
  <si>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</si>
  <si>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</si>
  <si>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</si>
  <si>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</si>
  <si>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</si>
  <si>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</si>
  <si>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</si>
  <si>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</si>
  <si>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</si>
  <si>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</si>
  <si>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</si>
  <si>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</si>
  <si>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</si>
  <si>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</si>
  <si>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</si>
  <si>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</si>
  <si>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</si>
  <si>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</si>
  <si>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</si>
  <si>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</si>
  <si>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</si>
  <si>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</si>
  <si>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</si>
  <si>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</si>
  <si>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</si>
  <si>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</si>
  <si>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</si>
  <si>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</si>
  <si>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</si>
  <si>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</si>
  <si>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</si>
  <si>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</si>
  <si>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</si>
  <si>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</si>
  <si>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</si>
  <si>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</si>
  <si>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</si>
  <si>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</si>
  <si>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</si>
  <si>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</si>
  <si>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</si>
  <si>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</si>
  <si>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</si>
  <si>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</si>
  <si>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</si>
  <si>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</si>
  <si>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</si>
  <si>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</si>
  <si>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</si>
  <si>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</si>
  <si>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</si>
  <si>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</si>
  <si>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</si>
  <si>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</si>
  <si>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</si>
  <si>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</si>
  <si>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</si>
  <si>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</si>
  <si>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</si>
  <si>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</si>
  <si>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</si>
  <si>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</si>
  <si>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</si>
  <si>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</si>
  <si>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</si>
  <si>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</si>
  <si>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</si>
  <si>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</si>
  <si>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</si>
  <si>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</si>
  <si>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</si>
  <si>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</si>
  <si>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</si>
  <si>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</si>
  <si>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</si>
  <si>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</si>
  <si>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</si>
  <si>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</si>
  <si>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</si>
  <si>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</si>
  <si>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</si>
  <si>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</si>
  <si>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</si>
  <si>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</si>
  <si>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</si>
  <si>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</si>
  <si>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</si>
  <si>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</si>
  <si>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</si>
  <si>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</si>
  <si>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</si>
  <si>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</si>
  <si>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</si>
  <si>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</si>
  <si>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</si>
  <si>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</si>
  <si>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</si>
  <si>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</si>
  <si>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</si>
  <si>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</si>
  <si>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</si>
  <si>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</si>
  <si>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</si>
  <si>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</si>
  <si>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</si>
  <si>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</si>
  <si>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</si>
  <si>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</si>
  <si>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</si>
  <si>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</si>
  <si>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</si>
  <si>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</si>
  <si>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</si>
  <si>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</si>
  <si>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</si>
  <si>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</si>
  <si>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</si>
  <si>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</si>
  <si>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</si>
  <si>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</si>
  <si>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</si>
  <si>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</si>
  <si>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</si>
  <si>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</si>
  <si>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</si>
  <si>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</si>
  <si>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</si>
  <si>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</si>
  <si>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</si>
  <si>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</si>
  <si>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</si>
  <si>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</si>
  <si>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</si>
  <si>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</si>
  <si>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</si>
  <si>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</si>
  <si>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</si>
  <si>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</si>
  <si>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</si>
  <si>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</si>
  <si>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</si>
  <si>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</si>
  <si>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</si>
  <si>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</si>
  <si>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</si>
  <si>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</si>
  <si>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</si>
  <si>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</si>
  <si>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</si>
  <si>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</si>
  <si>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</si>
  <si>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</si>
  <si>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</si>
  <si>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</si>
  <si>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</si>
  <si>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</si>
  <si>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</si>
  <si>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</si>
  <si>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</si>
  <si>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</si>
  <si>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</si>
  <si>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</si>
  <si>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</si>
  <si>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</si>
  <si>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</si>
  <si>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</si>
  <si>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</si>
  <si>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</si>
  <si>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</si>
  <si>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</si>
  <si>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</si>
  <si>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</si>
  <si>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</si>
  <si>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</si>
  <si>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</si>
  <si>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</si>
  <si>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</si>
  <si>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</si>
  <si>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</si>
  <si>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</si>
  <si>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</si>
  <si>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</si>
  <si>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</si>
  <si>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</si>
  <si>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</si>
  <si>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</si>
  <si>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</si>
  <si>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</si>
  <si>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</si>
  <si>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</si>
  <si>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</si>
  <si>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</si>
  <si>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</si>
  <si>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</si>
  <si>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</si>
  <si>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</si>
  <si>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</si>
  <si>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</si>
  <si>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</si>
  <si>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</si>
  <si>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</si>
  <si>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</si>
  <si>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</si>
  <si>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</si>
  <si>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</si>
  <si>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</si>
  <si>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</si>
  <si>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</si>
  <si>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</si>
  <si>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</si>
  <si>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</si>
  <si>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</si>
  <si>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</si>
  <si>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</si>
  <si>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</si>
  <si>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</si>
  <si>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</si>
  <si>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</si>
  <si>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</si>
  <si>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</si>
  <si>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</si>
  <si>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</si>
  <si>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</si>
  <si>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</si>
  <si>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</si>
  <si>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</si>
  <si>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</si>
  <si>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</si>
  <si>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</si>
  <si>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</si>
  <si>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</si>
  <si>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</si>
  <si>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</si>
  <si>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</si>
  <si>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</si>
  <si>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</si>
  <si>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</si>
  <si>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</si>
  <si>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</si>
  <si>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</si>
  <si>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</si>
  <si>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</si>
  <si>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</si>
  <si>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</si>
  <si>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</si>
  <si>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</si>
  <si>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</si>
  <si>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</si>
  <si>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</si>
  <si>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</si>
  <si>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</si>
  <si>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</si>
  <si>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</si>
  <si>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</si>
  <si>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</si>
  <si>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</si>
  <si>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</si>
  <si>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</si>
  <si>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</si>
  <si>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</si>
  <si>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</si>
  <si>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</si>
  <si>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</si>
  <si>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</si>
  <si>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</si>
  <si>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</si>
  <si>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</si>
  <si>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</si>
  <si>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</si>
  <si>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</si>
  <si>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</si>
  <si>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</si>
  <si>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</si>
  <si>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</si>
  <si>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</si>
  <si>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</si>
  <si>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</si>
  <si>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</si>
  <si>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</si>
  <si>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</si>
  <si>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</si>
  <si>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</si>
  <si>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</si>
  <si>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</si>
  <si>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</si>
  <si>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</si>
  <si>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</si>
  <si>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</si>
  <si>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</si>
  <si>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</si>
  <si>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</si>
  <si>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</si>
  <si>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</si>
  <si>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</si>
  <si>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</si>
  <si>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</si>
  <si>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</si>
  <si>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</si>
  <si>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</si>
  <si>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</si>
  <si>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</si>
  <si>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</si>
  <si>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</si>
  <si>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</si>
  <si>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</si>
  <si>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</si>
  <si>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</si>
  <si>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</si>
  <si>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</si>
  <si>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</si>
  <si>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</si>
  <si>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</si>
  <si>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</si>
  <si>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</si>
  <si>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</si>
  <si>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</si>
  <si>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</si>
  <si>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</si>
  <si>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</si>
  <si>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</si>
  <si>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</si>
  <si>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</si>
  <si>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</si>
  <si>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</si>
  <si>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</si>
  <si>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</si>
  <si>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</si>
  <si>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</si>
  <si>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</si>
  <si>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</si>
  <si>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</si>
  <si>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</si>
  <si>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</si>
  <si>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</si>
  <si>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</si>
  <si>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</si>
  <si>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</si>
  <si>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</si>
  <si>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</si>
  <si>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</si>
  <si>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</si>
  <si>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</si>
  <si>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</si>
  <si>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</si>
  <si>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</si>
  <si>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</si>
  <si>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</si>
  <si>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</si>
  <si>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</si>
  <si>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</si>
  <si>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</si>
  <si>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</si>
  <si>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</si>
  <si>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</si>
  <si>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</si>
  <si>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</si>
  <si>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</si>
  <si>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</si>
  <si>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</si>
  <si>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</si>
  <si>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</si>
  <si>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</si>
  <si>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</si>
  <si>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</si>
  <si>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</si>
  <si>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</si>
  <si>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</si>
  <si>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</si>
  <si>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</si>
  <si>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</si>
  <si>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</si>
  <si>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</si>
  <si>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</si>
  <si>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</si>
  <si>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</si>
  <si>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</si>
  <si>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</si>
  <si>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</si>
  <si>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</si>
  <si>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</si>
  <si>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</si>
  <si>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</si>
  <si>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</si>
  <si>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</si>
  <si>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</si>
  <si>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</si>
  <si>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</si>
  <si>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</si>
  <si>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</si>
  <si>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</si>
  <si>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</si>
  <si>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</si>
  <si>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</si>
  <si>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</si>
  <si>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</si>
  <si>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</si>
  <si>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</si>
  <si>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</si>
  <si>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</si>
  <si>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</si>
  <si>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</si>
  <si>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</si>
  <si>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</si>
  <si>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</si>
  <si>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</si>
  <si>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</si>
  <si>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</si>
  <si>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</si>
  <si>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</si>
  <si>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</si>
  <si>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</si>
  <si>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</si>
  <si>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</si>
  <si>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</si>
  <si>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</si>
  <si>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</si>
  <si>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</si>
  <si>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</si>
  <si>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</si>
  <si>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</si>
  <si>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</si>
  <si>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</si>
  <si>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</si>
  <si>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</si>
  <si>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</si>
  <si>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</si>
  <si>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</si>
  <si>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</si>
  <si>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</si>
  <si>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</si>
  <si>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</si>
  <si>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</si>
  <si>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</si>
  <si>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</si>
  <si>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</si>
  <si>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</si>
  <si>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</si>
  <si>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</si>
  <si>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</si>
  <si>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</si>
  <si>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</si>
  <si>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</si>
  <si>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</si>
  <si>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</si>
  <si>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</si>
  <si>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</si>
  <si>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</si>
  <si>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</si>
  <si>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</si>
  <si>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</si>
  <si>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</si>
  <si>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</si>
  <si>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</si>
  <si>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</si>
  <si>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</si>
  <si>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</si>
  <si>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</si>
  <si>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</si>
  <si>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</si>
  <si>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</si>
  <si>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</si>
  <si>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</si>
  <si>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</si>
  <si>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</si>
  <si>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</si>
  <si>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</si>
  <si>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</si>
  <si>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</si>
  <si>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</si>
  <si>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</si>
  <si>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</si>
  <si>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</si>
  <si>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</si>
  <si>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</si>
  <si>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</si>
  <si>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</si>
  <si>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</si>
  <si>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</si>
  <si>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</si>
  <si>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</si>
  <si>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</si>
  <si>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</si>
  <si>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</si>
  <si>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</si>
  <si>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</si>
  <si>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</si>
  <si>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</si>
  <si>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</si>
  <si>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</si>
  <si>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</si>
  <si>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</si>
  <si>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</si>
  <si>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</si>
  <si>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</si>
  <si>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</si>
  <si>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</si>
  <si>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</si>
  <si>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</si>
  <si>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</si>
  <si>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</si>
  <si>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</si>
  <si>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</si>
  <si>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</si>
  <si>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</si>
  <si>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</si>
  <si>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</si>
  <si>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</si>
  <si>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</si>
  <si>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</si>
  <si>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</si>
  <si>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</si>
  <si>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</si>
  <si>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</si>
  <si>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</si>
  <si>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</si>
  <si>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</si>
  <si>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</si>
  <si>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</si>
  <si>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</si>
  <si>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</si>
  <si>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</si>
  <si>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</si>
  <si>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</si>
  <si>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</si>
  <si>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</si>
  <si>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</si>
  <si>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</si>
  <si>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</si>
  <si>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</si>
  <si>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</si>
  <si>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</si>
  <si>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</si>
  <si>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</si>
  <si>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</si>
  <si>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</si>
  <si>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</si>
  <si>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</si>
  <si>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</si>
  <si>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</si>
  <si>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</si>
  <si>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</si>
  <si>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</si>
  <si>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</si>
  <si>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</si>
  <si>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</si>
  <si>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</si>
  <si>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</si>
  <si>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</si>
  <si>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</si>
  <si>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</si>
  <si>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</si>
  <si>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</si>
  <si>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</si>
  <si>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</si>
  <si>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</si>
  <si>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</si>
  <si>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</si>
  <si>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</si>
  <si>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</si>
  <si>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</si>
  <si>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</si>
  <si>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</si>
  <si>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</si>
  <si>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</si>
  <si>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</si>
  <si>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</si>
  <si>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</si>
  <si>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</si>
  <si>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</si>
  <si>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</si>
  <si>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</si>
  <si>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</si>
  <si>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</si>
  <si>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</si>
  <si>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</si>
  <si>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</si>
  <si>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</si>
  <si>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</si>
  <si>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</si>
  <si>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</si>
  <si>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</si>
  <si>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</si>
  <si>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</si>
  <si>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</si>
  <si>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</si>
  <si>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</si>
  <si>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</si>
  <si>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</si>
  <si>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</si>
  <si>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</si>
  <si>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</si>
  <si>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</si>
  <si>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</si>
  <si>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</si>
  <si>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Most Ordered Products</t>
  </si>
  <si>
    <t>Trend of no of Sales for Each Day</t>
  </si>
  <si>
    <t>Trend of Revenue Generated for each day</t>
  </si>
  <si>
    <t>Trend of Revenue Generated for Each Product</t>
  </si>
  <si>
    <t>Row Labels</t>
  </si>
  <si>
    <t>Grand Total</t>
  </si>
  <si>
    <t>Sunday</t>
  </si>
  <si>
    <t>Monday</t>
  </si>
  <si>
    <t>Tuesday</t>
  </si>
  <si>
    <t>Wednesday</t>
  </si>
  <si>
    <t>Average</t>
  </si>
  <si>
    <t>Actual Sale</t>
  </si>
  <si>
    <t>Net Sale</t>
  </si>
  <si>
    <t>Day</t>
  </si>
  <si>
    <t>Sum of Net Sale</t>
  </si>
  <si>
    <t>Total Revenue</t>
  </si>
  <si>
    <t>Average Revenue</t>
  </si>
  <si>
    <t xml:space="preserve"> Total Orders</t>
  </si>
  <si>
    <t>Average Discount</t>
  </si>
  <si>
    <t>Count of Product Name</t>
  </si>
  <si>
    <t>Number of Sales</t>
  </si>
  <si>
    <t>Sum of Actual Sale</t>
  </si>
  <si>
    <t>Revenue</t>
  </si>
  <si>
    <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</si>
</sst>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3" x14ac:knownFonts="1">
    <font>
      <sz val="11"/>
      <color theme="1"/>
      <name val="Calibri"/>
      <family val="2"/>
      <scheme val="minor"/>
    </font>
    <font>
      <sz val="8"/>
      <name val="Calibri"/>
      <family val="2"/>
      <scheme val="minor"/>
    </font>
    <font>
      <sz val="11"/>
      <color theme="1"/>
      <name val="Calibri"/>
      <family val="2"/>
      <scheme val="minor"/>
    </font>
  </fonts>
  <fills count="4">
    <fill>
      <patternFill patternType="none"/>
    </fill>
    <fill>
      <patternFill patternType="gray125"/>
    </fill>
    <fill>
      <patternFill patternType="solid">
        <fgColor rgb="FFF5F1E8"/>
        <bgColor indexed="64"/>
      </patternFill>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164" fontId="0" fillId="0" borderId="0" xfId="0" applyNumberFormat="1"/>
    <xf numFmtId="0" fontId="0" fillId="2" borderId="0" xfId="0" applyFill="1"/>
    <xf numFmtId="1" fontId="0" fillId="0" borderId="0" xfId="0" applyNumberFormat="1"/>
    <xf numFmtId="164" fontId="0" fillId="0" borderId="0" xfId="0" applyNumberFormat="1" applyFont="1"/>
    <xf numFmtId="164" fontId="0" fillId="0" borderId="0" xfId="1" applyNumberFormat="1" applyFont="1"/>
    <xf numFmtId="0" fontId="0" fillId="3" borderId="0" xfId="0" applyFill="1"/>
  </cellXfs>
  <cellStyles count="2">
    <cellStyle name="Normal" xfId="0" builtinId="0"/>
    <cellStyle name="Per cent" xfId="1" builtinId="5"/>
  </cellStyles>
  <dxfs count="15">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0" formatCode="General"/>
    </dxf>
    <dxf>
      <numFmt numFmtId="2" formatCode="0.00"/>
    </dxf>
    <dxf>
      <numFmt numFmtId="0" formatCode="General"/>
    </dxf>
    <dxf>
      <numFmt numFmtId="13" formatCode="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font>
        <color theme="2"/>
      </font>
      <fill>
        <patternFill>
          <bgColor rgb="FF2B2B2B"/>
        </patternFill>
      </fill>
      <border>
        <horizontal style="thin">
          <color theme="2"/>
        </horizontal>
      </border>
    </dxf>
    <dxf>
      <font>
        <color auto="1"/>
      </font>
    </dxf>
  </dxfs>
  <tableStyles count="4" defaultTableStyle="TableStyleMedium2" defaultPivotStyle="PivotStyleLight16">
    <tableStyle name="Invisible" pivot="0" table="0" count="0" xr9:uid="{3E1378A3-7D63-4E68-B8CF-E0729F08057B}"/>
    <tableStyle name="Slicer Style 1" pivot="0" table="0" count="1" xr9:uid="{8FFC8031-A64B-4BB5-B9FC-098EC2421B69}">
      <tableStyleElement type="wholeTable" dxfId="14"/>
    </tableStyle>
    <tableStyle name="Slicer Style 2" pivot="0" table="0" count="1" xr9:uid="{5C447A8D-04E7-4CFB-9191-232876AFC6EA}">
      <tableStyleElement type="wholeTable" dxfId="13"/>
    </tableStyle>
    <tableStyle name="Slicer Style 3" pivot="0" table="0" count="0" xr9:uid="{6DFA41D5-BABF-42EE-8869-B174BDE9493A}"/>
  </tableStyles>
  <colors>
    <mruColors>
      <color rgb="FFC65D3B"/>
      <color rgb="FF2F7F7B"/>
      <color rgb="FF2B2B2B"/>
      <color rgb="FFD6A62C"/>
      <color rgb="FFF5F1E8"/>
      <color rgb="FFC96B2C"/>
      <color rgb="FF4B1F5C"/>
      <color rgb="FFD4A72C"/>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microsoft.com/office/2007/relationships/slicerCache" Target="slicerCaches/slicerCache3.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microsoft.com/office/2007/relationships/slicerCache" Target="slicerCaches/slicerCache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[Order Dashboard Excel Project.xlsx]Order Pivot!PivotTable2</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Most Ordered Products</a:t>
            </a:r>
          </a:p>
        </c:rich>
      </c:tx>
      <c:layout>
        <c:manualLayout>
          <c:xMode val="edge"/>
          <c:yMode val="edge"/>
          <c:x val="0.29307274090738655"/>
          <c:y val="0.12674300668168692"/>
        </c:manualLayout>
      </c:layout>
      <c:overlay val="0"/>
      <c:spPr>
        <a:solidFill>
          <a:srgbClr val="C65D3B"/>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rgbClr val="C65D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65D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65D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Pivot'!$B$6</c:f>
              <c:strCache>
                <c:ptCount val="1"/>
                <c:pt idx="0">
                  <c:v>Total</c:v>
                </c:pt>
              </c:strCache>
            </c:strRef>
          </c:tx>
          <c:spPr>
            <a:solidFill>
              <a:srgbClr val="C65D3B"/>
            </a:solidFill>
            <a:ln>
              <a:noFill/>
            </a:ln>
            <a:effectLst/>
          </c:spPr>
          <c:invertIfNegative val="0"/>
          <c:cat>
            <c:strRef>
              <c:f>'Order Pivot'!$A$7:$A$11</c:f>
              <c:strCache>
                <c:ptCount val="4"/>
                <c:pt idx="0">
                  <c:v>Medium Crispy Chole Pizzabun</c:v>
                </c:pt>
                <c:pt idx="1">
                  <c:v>Large Paneer Tikka Pizzabun</c:v>
                </c:pt>
                <c:pt idx="2">
                  <c:v>Paneer Tikka Pizzabun</c:v>
                </c:pt>
                <c:pt idx="3">
                  <c:v>Minty Pizzabun</c:v>
                </c:pt>
              </c:strCache>
            </c:strRef>
          </c:cat>
          <c:val>
            <c:numRef>
              <c:f>'Order Pivot'!$B$7:$B$11</c:f>
              <c:numCache>
                <c:formatCode>General</c:formatCode>
                <c:ptCount val="4"/>
                <c:pt idx="0">
                  <c:v>14</c:v>
                </c:pt>
                <c:pt idx="1">
                  <c:v>11</c:v>
                </c:pt>
                <c:pt idx="2">
                  <c:v>9</c:v>
                </c:pt>
                <c:pt idx="3">
                  <c:v>5</c:v>
                </c:pt>
              </c:numCache>
            </c:numRef>
          </c:val>
          <c:extLst>
            <c:ext xmlns:c16="http://schemas.microsoft.com/office/drawing/2014/chart" uri="{C3380CC4-5D6E-409C-BE32-E72D297353CC}">
              <c16:uniqueId val="{00000000-EC39-468C-9315-9BE9C97B2913}"/>
            </c:ext>
          </c:extLst>
        </c:ser>
        <c:dLbls>
          <c:showLegendKey val="0"/>
          <c:showVal val="0"/>
          <c:showCatName val="0"/>
          <c:showSerName val="0"/>
          <c:showPercent val="0"/>
          <c:showBubbleSize val="0"/>
        </c:dLbls>
        <c:gapWidth val="219"/>
        <c:overlap val="-27"/>
        <c:axId val="372277791"/>
        <c:axId val="372281951"/>
      </c:barChart>
      <c:catAx>
        <c:axId val="37227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2281951"/>
        <c:crosses val="autoZero"/>
        <c:auto val="1"/>
        <c:lblAlgn val="ctr"/>
        <c:lblOffset val="100"/>
        <c:noMultiLvlLbl val="0"/>
      </c:catAx>
      <c:valAx>
        <c:axId val="37228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227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[Order Dashboard Excel Project.xlsx]Order Pivot!PivotTable3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Day wise Number of Sales</a:t>
            </a:r>
          </a:p>
        </c:rich>
      </c:tx>
      <c:overlay val="0"/>
      <c:spPr>
        <a:solidFill>
          <a:srgbClr val="D6A62C"/>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28575" cap="rnd">
            <a:solidFill>
              <a:srgbClr val="D6A62C"/>
            </a:solidFill>
            <a:round/>
          </a:ln>
          <a:effectLst/>
        </c:spPr>
        <c:marker>
          <c:symbol val="circle"/>
          <c:size val="5"/>
          <c:spPr>
            <a:solidFill>
              <a:srgbClr val="D6A62C"/>
            </a:solidFill>
            <a:ln w="9525">
              <a:solidFill>
                <a:srgbClr val="D6A62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rgbClr val="D6A62C"/>
            </a:solidFill>
            <a:round/>
          </a:ln>
          <a:effectLst/>
        </c:spPr>
        <c:marker>
          <c:symbol val="circle"/>
          <c:size val="5"/>
          <c:spPr>
            <a:solidFill>
              <a:srgbClr val="D6A62C"/>
            </a:solidFill>
            <a:ln w="9525">
              <a:solidFill>
                <a:srgbClr val="D6A62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6A62C"/>
            </a:solidFill>
            <a:round/>
          </a:ln>
          <a:effectLst/>
        </c:spPr>
        <c:marker>
          <c:symbol val="circle"/>
          <c:size val="5"/>
          <c:spPr>
            <a:solidFill>
              <a:srgbClr val="D6A62C"/>
            </a:solidFill>
            <a:ln w="9525">
              <a:solidFill>
                <a:srgbClr val="D6A62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46981627296588"/>
          <c:y val="0.24939596092155147"/>
          <c:w val="0.73458530183727033"/>
          <c:h val="0.4116761446485856"/>
        </c:manualLayout>
      </c:layout>
      <c:lineChart>
        <c:grouping val="stacked"/>
        <c:varyColors val="0"/>
        <c:ser>
          <c:idx val="0"/>
          <c:order val="0"/>
          <c:tx>
            <c:strRef>
              <c:f>'Order Pivot'!$B$17</c:f>
              <c:strCache>
                <c:ptCount val="1"/>
                <c:pt idx="0">
                  <c:v>Total</c:v>
                </c:pt>
              </c:strCache>
            </c:strRef>
          </c:tx>
          <c:spPr>
            <a:ln w="28575" cap="rnd">
              <a:solidFill>
                <a:srgbClr val="D6A62C"/>
              </a:solidFill>
              <a:round/>
            </a:ln>
            <a:effectLst/>
          </c:spPr>
          <c:marker>
            <c:symbol val="circle"/>
            <c:size val="5"/>
            <c:spPr>
              <a:solidFill>
                <a:srgbClr val="D6A62C"/>
              </a:solidFill>
              <a:ln w="9525">
                <a:solidFill>
                  <a:srgbClr val="D6A62C"/>
                </a:solidFill>
              </a:ln>
              <a:effectLst/>
            </c:spPr>
          </c:marker>
          <c:cat>
            <c:strRef>
              <c:f>'Order Pivot'!$A$18:$A$22</c:f>
              <c:strCache>
                <c:ptCount val="4"/>
                <c:pt idx="0">
                  <c:v>Sunday</c:v>
                </c:pt>
                <c:pt idx="1">
                  <c:v>Monday</c:v>
                </c:pt>
                <c:pt idx="2">
                  <c:v>Tuesday</c:v>
                </c:pt>
                <c:pt idx="3">
                  <c:v>Wednesday</c:v>
                </c:pt>
              </c:strCache>
            </c:strRef>
          </c:cat>
          <c:val>
            <c:numRef>
              <c:f>'Order Pivot'!$B$18:$B$22</c:f>
              <c:numCache>
                <c:formatCode>0</c:formatCode>
                <c:ptCount val="4"/>
                <c:pt idx="0">
                  <c:v>27</c:v>
                </c:pt>
                <c:pt idx="1">
                  <c:v>56</c:v>
                </c:pt>
                <c:pt idx="2">
                  <c:v>53</c:v>
                </c:pt>
                <c:pt idx="3">
                  <c:v>57</c:v>
                </c:pt>
              </c:numCache>
            </c:numRef>
          </c:val>
          <c:smooth val="0"/>
          <c:extLst>
            <c:ext xmlns:c16="http://schemas.microsoft.com/office/drawing/2014/chart" uri="{C3380CC4-5D6E-409C-BE32-E72D297353CC}">
              <c16:uniqueId val="{00000000-8265-4A1D-BED8-8B5CD228F5C3}"/>
            </c:ext>
          </c:extLst>
        </c:ser>
        <c:dLbls>
          <c:showLegendKey val="0"/>
          <c:showVal val="0"/>
          <c:showCatName val="0"/>
          <c:showSerName val="0"/>
          <c:showPercent val="0"/>
          <c:showBubbleSize val="0"/>
        </c:dLbls>
        <c:marker val="1"/>
        <c:smooth val="0"/>
        <c:axId val="555858831"/>
        <c:axId val="555859247"/>
      </c:lineChart>
      <c:catAx>
        <c:axId val="55585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55859247"/>
        <c:crosses val="autoZero"/>
        <c:auto val="1"/>
        <c:lblAlgn val="ctr"/>
        <c:lblOffset val="100"/>
        <c:noMultiLvlLbl val="0"/>
      </c:catAx>
      <c:valAx>
        <c:axId val="5558592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5585883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Dashboard Excel Project.xlsx]Order Pivot!PivotTable5</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Product Wise Revenue</a:t>
            </a:r>
          </a:p>
        </c:rich>
      </c:tx>
      <c:layout>
        <c:manualLayout>
          <c:xMode val="edge"/>
          <c:yMode val="edge"/>
          <c:x val="0.30262489063867015"/>
          <c:y val="9.1571886847477399E-2"/>
        </c:manualLayout>
      </c:layout>
      <c:overlay val="0"/>
      <c:spPr>
        <a:solidFill>
          <a:srgbClr val="D6A62C"/>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rgbClr val="D6A6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6A6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6A6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Pivot'!$B$41</c:f>
              <c:strCache>
                <c:ptCount val="1"/>
                <c:pt idx="0">
                  <c:v>Total</c:v>
                </c:pt>
              </c:strCache>
            </c:strRef>
          </c:tx>
          <c:spPr>
            <a:solidFill>
              <a:srgbClr val="D6A62C"/>
            </a:solidFill>
            <a:ln>
              <a:noFill/>
            </a:ln>
            <a:effectLst/>
          </c:spPr>
          <c:invertIfNegative val="0"/>
          <c:cat>
            <c:strRef>
              <c:f>'Order Pivot'!$A$42:$A$46</c:f>
              <c:strCache>
                <c:ptCount val="4"/>
                <c:pt idx="0">
                  <c:v>Large Paneer Tikka Pizzabun</c:v>
                </c:pt>
                <c:pt idx="1">
                  <c:v>Medium Crispy Chole Pizzabun</c:v>
                </c:pt>
                <c:pt idx="2">
                  <c:v>Minty Pizzabun</c:v>
                </c:pt>
                <c:pt idx="3">
                  <c:v>Paneer Tikka Pizzabun</c:v>
                </c:pt>
              </c:strCache>
            </c:strRef>
          </c:cat>
          <c:val>
            <c:numRef>
              <c:f>'Order Pivot'!$B$42:$B$46</c:f>
              <c:numCache>
                <c:formatCode>0.00</c:formatCode>
                <c:ptCount val="4"/>
                <c:pt idx="0">
                  <c:v>4473.9217421741005</c:v>
                </c:pt>
                <c:pt idx="1">
                  <c:v>4540.950655892123</c:v>
                </c:pt>
                <c:pt idx="2">
                  <c:v>2293.208149113173</c:v>
                </c:pt>
                <c:pt idx="3">
                  <c:v>2176.3391936422531</c:v>
                </c:pt>
              </c:numCache>
            </c:numRef>
          </c:val>
          <c:extLst>
            <c:ext xmlns:c16="http://schemas.microsoft.com/office/drawing/2014/chart" uri="{C3380CC4-5D6E-409C-BE32-E72D297353CC}">
              <c16:uniqueId val="{00000000-900B-4A29-900D-1BD78944433F}"/>
            </c:ext>
          </c:extLst>
        </c:ser>
        <c:dLbls>
          <c:showLegendKey val="0"/>
          <c:showVal val="0"/>
          <c:showCatName val="0"/>
          <c:showSerName val="0"/>
          <c:showPercent val="0"/>
          <c:showBubbleSize val="0"/>
        </c:dLbls>
        <c:gapWidth val="219"/>
        <c:overlap val="-27"/>
        <c:axId val="375601311"/>
        <c:axId val="375601727"/>
      </c:barChart>
      <c:catAx>
        <c:axId val="37560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5601727"/>
        <c:crosses val="autoZero"/>
        <c:auto val="1"/>
        <c:lblAlgn val="ctr"/>
        <c:lblOffset val="100"/>
        <c:noMultiLvlLbl val="0"/>
      </c:catAx>
      <c:valAx>
        <c:axId val="3756017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560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[Order Dashboard Excel Project.xlsx]Order Pivot!PivotTable6</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Actual Sales vs Net Sales</a:t>
            </a:r>
          </a:p>
        </c:rich>
      </c:tx>
      <c:overlay val="0"/>
      <c:spPr>
        <a:solidFill>
          <a:srgbClr val="D6A62C"/>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28575" cap="rnd">
            <a:solidFill>
              <a:srgbClr val="2F7F7B"/>
            </a:solidFill>
            <a:round/>
          </a:ln>
          <a:effectLst/>
        </c:spPr>
        <c:marker>
          <c:symbol val="circle"/>
          <c:size val="5"/>
          <c:spPr>
            <a:solidFill>
              <a:srgbClr val="2F7F7B"/>
            </a:solidFill>
            <a:ln w="9525">
              <a:solidFill>
                <a:srgbClr val="2F7F7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rgbClr val="C65D3B"/>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rgbClr val="C65D3B"/>
            </a:solidFill>
            <a:round/>
          </a:ln>
          <a:effectLst/>
        </c:spPr>
        <c:marker>
          <c:symbol val="circle"/>
          <c:size val="5"/>
          <c:spPr>
            <a:solidFill>
              <a:srgbClr val="C65D3B"/>
            </a:solidFill>
            <a:ln w="9525">
              <a:solidFill>
                <a:schemeClr val="accent6">
                  <a:shade val="76000"/>
                </a:schemeClr>
              </a:solidFill>
            </a:ln>
            <a:effectLst/>
          </c:spPr>
        </c:marker>
      </c:pivotFmt>
      <c:pivotFmt>
        <c:idx val="3"/>
        <c:spPr>
          <a:solidFill>
            <a:schemeClr val="accent6"/>
          </a:solidFill>
          <a:ln w="28575" cap="rnd">
            <a:solidFill>
              <a:srgbClr val="C65D3B"/>
            </a:solidFill>
            <a:round/>
          </a:ln>
          <a:effectLst/>
        </c:spPr>
        <c:marker>
          <c:symbol val="circle"/>
          <c:size val="5"/>
          <c:spPr>
            <a:solidFill>
              <a:srgbClr val="C65D3B"/>
            </a:solidFill>
            <a:ln w="9525">
              <a:solidFill>
                <a:schemeClr val="accent6">
                  <a:shade val="76000"/>
                </a:schemeClr>
              </a:solidFill>
            </a:ln>
            <a:effectLst/>
          </c:spPr>
        </c:marker>
      </c:pivotFmt>
      <c:pivotFmt>
        <c:idx val="4"/>
        <c:spPr>
          <a:solidFill>
            <a:schemeClr val="accent6"/>
          </a:solidFill>
          <a:ln w="28575" cap="rnd">
            <a:solidFill>
              <a:srgbClr val="C65D3B"/>
            </a:solidFill>
            <a:round/>
          </a:ln>
          <a:effectLst/>
        </c:spPr>
        <c:marker>
          <c:symbol val="circle"/>
          <c:size val="5"/>
          <c:spPr>
            <a:solidFill>
              <a:srgbClr val="C65D3B"/>
            </a:solidFill>
            <a:ln w="9525">
              <a:solidFill>
                <a:schemeClr val="accent6">
                  <a:shade val="76000"/>
                </a:schemeClr>
              </a:solidFill>
            </a:ln>
            <a:effectLst/>
          </c:spPr>
        </c:marker>
      </c:pivotFmt>
      <c:pivotFmt>
        <c:idx val="5"/>
        <c:spPr>
          <a:solidFill>
            <a:schemeClr val="accent6"/>
          </a:solidFill>
          <a:ln w="28575" cap="rnd">
            <a:solidFill>
              <a:srgbClr val="C65D3B"/>
            </a:solidFill>
            <a:round/>
          </a:ln>
          <a:effectLst/>
        </c:spPr>
        <c:marker>
          <c:symbol val="circle"/>
          <c:size val="5"/>
          <c:spPr>
            <a:solidFill>
              <a:srgbClr val="C65D3B"/>
            </a:solidFill>
            <a:ln w="9525">
              <a:solidFill>
                <a:schemeClr val="accent6">
                  <a:shade val="76000"/>
                </a:schemeClr>
              </a:solidFill>
            </a:ln>
            <a:effectLst/>
          </c:spPr>
        </c:marker>
      </c:pivotFmt>
      <c:pivotFmt>
        <c:idx val="6"/>
        <c:spPr>
          <a:solidFill>
            <a:schemeClr val="accent6"/>
          </a:solidFill>
          <a:ln w="28575" cap="rnd">
            <a:solidFill>
              <a:srgbClr val="C65D3B"/>
            </a:solidFill>
            <a:round/>
          </a:ln>
          <a:effectLst/>
        </c:spPr>
        <c:marker>
          <c:symbol val="circle"/>
          <c:size val="5"/>
          <c:spPr>
            <a:solidFill>
              <a:srgbClr val="C65D3B"/>
            </a:solidFill>
            <a:ln w="9525">
              <a:solidFill>
                <a:schemeClr val="accent6">
                  <a:shade val="76000"/>
                </a:schemeClr>
              </a:solidFill>
            </a:ln>
            <a:effectLst/>
          </c:spPr>
        </c:marker>
      </c:pivotFmt>
      <c:pivotFmt>
        <c:idx val="7"/>
        <c:spPr>
          <a:solidFill>
            <a:schemeClr val="accent6"/>
          </a:solidFill>
          <a:ln w="28575" cap="rnd">
            <a:solidFill>
              <a:srgbClr val="C65D3B"/>
            </a:solidFill>
            <a:round/>
          </a:ln>
          <a:effectLst/>
        </c:spPr>
        <c:marker>
          <c:symbol val="circle"/>
          <c:size val="5"/>
          <c:spPr>
            <a:solidFill>
              <a:srgbClr val="C65D3B"/>
            </a:solidFill>
            <a:ln w="9525">
              <a:solidFill>
                <a:schemeClr val="accent6">
                  <a:shade val="76000"/>
                </a:schemeClr>
              </a:solidFill>
            </a:ln>
            <a:effectLst/>
          </c:spPr>
        </c:marker>
      </c:pivotFmt>
      <c:pivotFmt>
        <c:idx val="8"/>
        <c:spPr>
          <a:solidFill>
            <a:schemeClr val="accent6"/>
          </a:solidFill>
          <a:ln w="28575" cap="rnd">
            <a:solidFill>
              <a:srgbClr val="2F7F7B"/>
            </a:solidFill>
            <a:round/>
          </a:ln>
          <a:effectLst/>
        </c:spPr>
        <c:marker>
          <c:symbol val="circle"/>
          <c:size val="5"/>
          <c:spPr>
            <a:solidFill>
              <a:srgbClr val="2F7F7B"/>
            </a:solidFill>
            <a:ln w="9525">
              <a:solidFill>
                <a:srgbClr val="2F7F7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circle"/>
          <c:size val="5"/>
          <c:spPr>
            <a:solidFill>
              <a:srgbClr val="C65D3B"/>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rgbClr val="C65D3B"/>
            </a:solidFill>
            <a:round/>
          </a:ln>
          <a:effectLst/>
        </c:spPr>
        <c:marker>
          <c:symbol val="circle"/>
          <c:size val="5"/>
          <c:spPr>
            <a:solidFill>
              <a:srgbClr val="C65D3B"/>
            </a:solidFill>
            <a:ln w="9525">
              <a:solidFill>
                <a:srgbClr val="C65D3B"/>
              </a:solidFill>
            </a:ln>
            <a:effectLst/>
          </c:spPr>
        </c:marker>
      </c:pivotFmt>
      <c:pivotFmt>
        <c:idx val="11"/>
        <c:spPr>
          <a:solidFill>
            <a:schemeClr val="accent6"/>
          </a:solidFill>
          <a:ln w="28575" cap="rnd">
            <a:solidFill>
              <a:srgbClr val="C65D3B"/>
            </a:solidFill>
            <a:round/>
          </a:ln>
          <a:effectLst/>
        </c:spPr>
        <c:marker>
          <c:symbol val="circle"/>
          <c:size val="5"/>
          <c:spPr>
            <a:solidFill>
              <a:srgbClr val="C65D3B"/>
            </a:solidFill>
            <a:ln w="9525">
              <a:solidFill>
                <a:srgbClr val="C65D3B"/>
              </a:solidFill>
            </a:ln>
            <a:effectLst/>
          </c:spPr>
        </c:marker>
      </c:pivotFmt>
      <c:pivotFmt>
        <c:idx val="12"/>
        <c:spPr>
          <a:solidFill>
            <a:schemeClr val="accent6"/>
          </a:solidFill>
          <a:ln w="28575" cap="rnd">
            <a:solidFill>
              <a:srgbClr val="C65D3B"/>
            </a:solidFill>
            <a:round/>
          </a:ln>
          <a:effectLst/>
        </c:spPr>
        <c:marker>
          <c:symbol val="circle"/>
          <c:size val="5"/>
          <c:spPr>
            <a:solidFill>
              <a:srgbClr val="C65D3B"/>
            </a:solidFill>
            <a:ln w="9525">
              <a:solidFill>
                <a:srgbClr val="C65D3B"/>
              </a:solidFill>
            </a:ln>
            <a:effectLst/>
          </c:spPr>
        </c:marker>
      </c:pivotFmt>
      <c:pivotFmt>
        <c:idx val="13"/>
        <c:spPr>
          <a:solidFill>
            <a:schemeClr val="accent6"/>
          </a:solidFill>
          <a:ln w="28575" cap="rnd">
            <a:solidFill>
              <a:srgbClr val="C65D3B"/>
            </a:solidFill>
            <a:round/>
          </a:ln>
          <a:effectLst/>
        </c:spPr>
        <c:marker>
          <c:symbol val="circle"/>
          <c:size val="5"/>
          <c:spPr>
            <a:solidFill>
              <a:srgbClr val="C65D3B"/>
            </a:solidFill>
            <a:ln w="9525">
              <a:solidFill>
                <a:srgbClr val="C65D3B"/>
              </a:solidFill>
            </a:ln>
            <a:effectLst/>
          </c:spPr>
        </c:marker>
      </c:pivotFmt>
      <c:pivotFmt>
        <c:idx val="14"/>
        <c:spPr>
          <a:solidFill>
            <a:schemeClr val="accent6"/>
          </a:solidFill>
          <a:ln w="28575" cap="rnd">
            <a:solidFill>
              <a:srgbClr val="C65D3B"/>
            </a:solidFill>
            <a:round/>
          </a:ln>
          <a:effectLst/>
        </c:spPr>
        <c:marker>
          <c:symbol val="circle"/>
          <c:size val="5"/>
          <c:spPr>
            <a:solidFill>
              <a:srgbClr val="C65D3B"/>
            </a:solidFill>
            <a:ln w="9525">
              <a:solidFill>
                <a:srgbClr val="C65D3B"/>
              </a:solidFill>
            </a:ln>
            <a:effectLst/>
          </c:spPr>
        </c:marker>
      </c:pivotFmt>
      <c:pivotFmt>
        <c:idx val="15"/>
        <c:spPr>
          <a:solidFill>
            <a:schemeClr val="accent6"/>
          </a:solidFill>
          <a:ln w="28575" cap="rnd">
            <a:solidFill>
              <a:srgbClr val="C65D3B"/>
            </a:solidFill>
            <a:round/>
          </a:ln>
          <a:effectLst/>
        </c:spPr>
        <c:marker>
          <c:symbol val="circle"/>
          <c:size val="5"/>
          <c:spPr>
            <a:solidFill>
              <a:srgbClr val="C65D3B"/>
            </a:solidFill>
            <a:ln w="9525">
              <a:solidFill>
                <a:srgbClr val="C65D3B"/>
              </a:solidFill>
            </a:ln>
            <a:effectLst/>
          </c:spPr>
        </c:marker>
      </c:pivotFmt>
      <c:pivotFmt>
        <c:idx val="16"/>
        <c:spPr>
          <a:ln w="28575" cap="rnd">
            <a:solidFill>
              <a:srgbClr val="2F7F7B"/>
            </a:solidFill>
            <a:round/>
          </a:ln>
          <a:effectLst/>
        </c:spPr>
        <c:marker>
          <c:symbol val="circle"/>
          <c:size val="5"/>
          <c:spPr>
            <a:solidFill>
              <a:srgbClr val="2F7F7B"/>
            </a:solidFill>
            <a:ln w="9525">
              <a:solidFill>
                <a:srgbClr val="2F7F7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6"/>
            </a:solidFill>
            <a:round/>
          </a:ln>
          <a:effectLst/>
        </c:spPr>
        <c:marker>
          <c:symbol val="circle"/>
          <c:size val="5"/>
          <c:spPr>
            <a:solidFill>
              <a:srgbClr val="C65D3B"/>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C65D3B"/>
            </a:solidFill>
            <a:round/>
          </a:ln>
          <a:effectLst/>
        </c:spPr>
        <c:marker>
          <c:symbol val="circle"/>
          <c:size val="5"/>
          <c:spPr>
            <a:solidFill>
              <a:srgbClr val="C65D3B"/>
            </a:solidFill>
            <a:ln w="9525">
              <a:solidFill>
                <a:srgbClr val="C65D3B"/>
              </a:solidFill>
            </a:ln>
            <a:effectLst/>
          </c:spPr>
        </c:marker>
      </c:pivotFmt>
      <c:pivotFmt>
        <c:idx val="19"/>
        <c:spPr>
          <a:ln w="28575" cap="rnd">
            <a:solidFill>
              <a:srgbClr val="C65D3B"/>
            </a:solidFill>
            <a:round/>
          </a:ln>
          <a:effectLst/>
        </c:spPr>
        <c:marker>
          <c:symbol val="circle"/>
          <c:size val="5"/>
          <c:spPr>
            <a:solidFill>
              <a:srgbClr val="C65D3B"/>
            </a:solidFill>
            <a:ln w="9525">
              <a:solidFill>
                <a:srgbClr val="C65D3B"/>
              </a:solidFill>
            </a:ln>
            <a:effectLst/>
          </c:spPr>
        </c:marker>
      </c:pivotFmt>
      <c:pivotFmt>
        <c:idx val="20"/>
        <c:spPr>
          <a:ln w="28575" cap="rnd">
            <a:solidFill>
              <a:srgbClr val="C65D3B"/>
            </a:solidFill>
            <a:round/>
          </a:ln>
          <a:effectLst/>
        </c:spPr>
        <c:marker>
          <c:symbol val="circle"/>
          <c:size val="5"/>
          <c:spPr>
            <a:solidFill>
              <a:srgbClr val="C65D3B"/>
            </a:solidFill>
            <a:ln w="9525">
              <a:solidFill>
                <a:srgbClr val="C65D3B"/>
              </a:solidFill>
            </a:ln>
            <a:effectLst/>
          </c:spPr>
        </c:marker>
      </c:pivotFmt>
      <c:pivotFmt>
        <c:idx val="21"/>
        <c:spPr>
          <a:solidFill>
            <a:schemeClr val="accent6"/>
          </a:solidFill>
          <a:ln w="28575" cap="rnd">
            <a:solidFill>
              <a:srgbClr val="C65D3B"/>
            </a:solidFill>
            <a:round/>
          </a:ln>
          <a:effectLst/>
        </c:spPr>
        <c:marker>
          <c:symbol val="circle"/>
          <c:size val="5"/>
          <c:spPr>
            <a:solidFill>
              <a:srgbClr val="C65D3B"/>
            </a:solidFill>
            <a:ln w="9525">
              <a:solidFill>
                <a:srgbClr val="C65D3B"/>
              </a:solidFill>
            </a:ln>
            <a:effectLst/>
          </c:spPr>
        </c:marker>
      </c:pivotFmt>
      <c:pivotFmt>
        <c:idx val="22"/>
        <c:spPr>
          <a:solidFill>
            <a:schemeClr val="accent6"/>
          </a:solidFill>
          <a:ln w="28575" cap="rnd">
            <a:solidFill>
              <a:srgbClr val="C65D3B"/>
            </a:solidFill>
            <a:round/>
          </a:ln>
          <a:effectLst/>
        </c:spPr>
        <c:marker>
          <c:symbol val="circle"/>
          <c:size val="5"/>
          <c:spPr>
            <a:solidFill>
              <a:srgbClr val="C65D3B"/>
            </a:solidFill>
            <a:ln w="9525">
              <a:solidFill>
                <a:srgbClr val="C65D3B"/>
              </a:solidFill>
            </a:ln>
            <a:effectLst/>
          </c:spPr>
        </c:marker>
      </c:pivotFmt>
      <c:pivotFmt>
        <c:idx val="23"/>
        <c:spPr>
          <a:solidFill>
            <a:schemeClr val="accent6"/>
          </a:solidFill>
          <a:ln w="28575" cap="rnd">
            <a:solidFill>
              <a:srgbClr val="C65D3B"/>
            </a:solidFill>
            <a:round/>
          </a:ln>
          <a:effectLst/>
        </c:spPr>
        <c:marker>
          <c:symbol val="circle"/>
          <c:size val="5"/>
          <c:spPr>
            <a:solidFill>
              <a:srgbClr val="C65D3B"/>
            </a:solidFill>
            <a:ln w="9525">
              <a:solidFill>
                <a:srgbClr val="C65D3B"/>
              </a:solidFill>
            </a:ln>
            <a:effectLst/>
          </c:spPr>
        </c:marker>
      </c:pivotFmt>
    </c:pivotFmts>
    <c:plotArea>
      <c:layout/>
      <c:lineChart>
        <c:grouping val="standard"/>
        <c:varyColors val="0"/>
        <c:ser>
          <c:idx val="0"/>
          <c:order val="0"/>
          <c:tx>
            <c:strRef>
              <c:f>'Order Pivot'!$B$54</c:f>
              <c:strCache>
                <c:ptCount val="1"/>
                <c:pt idx="0">
                  <c:v>Sum of Actual Sale</c:v>
                </c:pt>
              </c:strCache>
            </c:strRef>
          </c:tx>
          <c:spPr>
            <a:ln w="28575" cap="rnd">
              <a:solidFill>
                <a:srgbClr val="2F7F7B"/>
              </a:solidFill>
              <a:round/>
            </a:ln>
            <a:effectLst/>
          </c:spPr>
          <c:marker>
            <c:symbol val="circle"/>
            <c:size val="5"/>
            <c:spPr>
              <a:solidFill>
                <a:srgbClr val="2F7F7B"/>
              </a:solidFill>
              <a:ln w="9525">
                <a:solidFill>
                  <a:srgbClr val="2F7F7B"/>
                </a:solidFill>
              </a:ln>
              <a:effectLst/>
            </c:spPr>
          </c:marker>
          <c:cat>
            <c:strRef>
              <c:f>'Order Pivot'!$A$55:$A$59</c:f>
              <c:strCache>
                <c:ptCount val="4"/>
                <c:pt idx="0">
                  <c:v>Sunday</c:v>
                </c:pt>
                <c:pt idx="1">
                  <c:v>Monday</c:v>
                </c:pt>
                <c:pt idx="2">
                  <c:v>Tuesday</c:v>
                </c:pt>
                <c:pt idx="3">
                  <c:v>Wednesday</c:v>
                </c:pt>
              </c:strCache>
            </c:strRef>
          </c:cat>
          <c:val>
            <c:numRef>
              <c:f>'Order Pivot'!$B$55:$B$59</c:f>
              <c:numCache>
                <c:formatCode>General</c:formatCode>
                <c:ptCount val="4"/>
                <c:pt idx="0">
                  <c:v>3592</c:v>
                </c:pt>
                <c:pt idx="1">
                  <c:v>5242</c:v>
                </c:pt>
                <c:pt idx="2">
                  <c:v>5976</c:v>
                </c:pt>
                <c:pt idx="3">
                  <c:v>6928</c:v>
                </c:pt>
              </c:numCache>
            </c:numRef>
          </c:val>
          <c:smooth val="0"/>
          <c:extLst>
            <c:ext xmlns:c16="http://schemas.microsoft.com/office/drawing/2014/chart" uri="{C3380CC4-5D6E-409C-BE32-E72D297353CC}">
              <c16:uniqueId val="{00000000-37E0-4F7B-99D9-142316554665}"/>
            </c:ext>
          </c:extLst>
        </c:ser>
        <c:ser>
          <c:idx val="1"/>
          <c:order val="1"/>
          <c:tx>
            <c:strRef>
              <c:f>'Order Pivot'!$C$54</c:f>
              <c:strCache>
                <c:ptCount val="1"/>
                <c:pt idx="0">
                  <c:v>Sum of Net Sale</c:v>
                </c:pt>
              </c:strCache>
            </c:strRef>
          </c:tx>
          <c:spPr>
            <a:ln w="28575" cap="rnd">
              <a:solidFill>
                <a:schemeClr val="accent6">
                  <a:shade val="76000"/>
                </a:schemeClr>
              </a:solidFill>
              <a:round/>
            </a:ln>
            <a:effectLst/>
          </c:spPr>
          <c:marker>
            <c:symbol val="circle"/>
            <c:size val="5"/>
            <c:spPr>
              <a:solidFill>
                <a:srgbClr val="C65D3B"/>
              </a:solidFill>
              <a:ln w="9525">
                <a:solidFill>
                  <a:schemeClr val="accent6">
                    <a:shade val="76000"/>
                  </a:schemeClr>
                </a:solidFill>
              </a:ln>
              <a:effectLst/>
            </c:spPr>
          </c:marker>
          <c:dPt>
            <c:idx val="1"/>
            <c:marker>
              <c:symbol val="circle"/>
              <c:size val="5"/>
              <c:spPr>
                <a:solidFill>
                  <a:srgbClr val="C65D3B"/>
                </a:solidFill>
                <a:ln w="9525">
                  <a:solidFill>
                    <a:srgbClr val="C65D3B"/>
                  </a:solidFill>
                </a:ln>
                <a:effectLst/>
              </c:spPr>
            </c:marker>
            <c:bubble3D val="0"/>
            <c:spPr>
              <a:ln w="28575" cap="rnd">
                <a:solidFill>
                  <a:srgbClr val="C65D3B"/>
                </a:solidFill>
                <a:round/>
              </a:ln>
              <a:effectLst/>
            </c:spPr>
            <c:extLst>
              <c:ext xmlns:c16="http://schemas.microsoft.com/office/drawing/2014/chart" uri="{C3380CC4-5D6E-409C-BE32-E72D297353CC}">
                <c16:uniqueId val="{00000002-37E0-4F7B-99D9-142316554665}"/>
              </c:ext>
            </c:extLst>
          </c:dPt>
          <c:dPt>
            <c:idx val="2"/>
            <c:marker>
              <c:symbol val="circle"/>
              <c:size val="5"/>
              <c:spPr>
                <a:solidFill>
                  <a:srgbClr val="C65D3B"/>
                </a:solidFill>
                <a:ln w="9525">
                  <a:solidFill>
                    <a:srgbClr val="C65D3B"/>
                  </a:solidFill>
                </a:ln>
                <a:effectLst/>
              </c:spPr>
            </c:marker>
            <c:bubble3D val="0"/>
            <c:spPr>
              <a:ln w="28575" cap="rnd">
                <a:solidFill>
                  <a:srgbClr val="C65D3B"/>
                </a:solidFill>
                <a:round/>
              </a:ln>
              <a:effectLst/>
            </c:spPr>
            <c:extLst>
              <c:ext xmlns:c16="http://schemas.microsoft.com/office/drawing/2014/chart" uri="{C3380CC4-5D6E-409C-BE32-E72D297353CC}">
                <c16:uniqueId val="{00000004-37E0-4F7B-99D9-142316554665}"/>
              </c:ext>
            </c:extLst>
          </c:dPt>
          <c:dPt>
            <c:idx val="3"/>
            <c:marker>
              <c:symbol val="circle"/>
              <c:size val="5"/>
              <c:spPr>
                <a:solidFill>
                  <a:srgbClr val="C65D3B"/>
                </a:solidFill>
                <a:ln w="9525">
                  <a:solidFill>
                    <a:srgbClr val="C65D3B"/>
                  </a:solidFill>
                </a:ln>
                <a:effectLst/>
              </c:spPr>
            </c:marker>
            <c:bubble3D val="0"/>
            <c:spPr>
              <a:ln w="28575" cap="rnd">
                <a:solidFill>
                  <a:srgbClr val="C65D3B"/>
                </a:solidFill>
                <a:round/>
              </a:ln>
              <a:effectLst/>
            </c:spPr>
            <c:extLst>
              <c:ext xmlns:c16="http://schemas.microsoft.com/office/drawing/2014/chart" uri="{C3380CC4-5D6E-409C-BE32-E72D297353CC}">
                <c16:uniqueId val="{00000006-37E0-4F7B-99D9-142316554665}"/>
              </c:ext>
            </c:extLst>
          </c:dPt>
          <c:dPt>
            <c:idx val="4"/>
            <c:marker>
              <c:symbol val="circle"/>
              <c:size val="5"/>
              <c:spPr>
                <a:solidFill>
                  <a:srgbClr val="C65D3B"/>
                </a:solidFill>
                <a:ln w="9525">
                  <a:solidFill>
                    <a:schemeClr val="accent6">
                      <a:shade val="76000"/>
                    </a:schemeClr>
                  </a:solidFill>
                </a:ln>
                <a:effectLst/>
              </c:spPr>
            </c:marker>
            <c:bubble3D val="0"/>
            <c:extLst>
              <c:ext xmlns:c16="http://schemas.microsoft.com/office/drawing/2014/chart" uri="{C3380CC4-5D6E-409C-BE32-E72D297353CC}">
                <c16:uniqueId val="{00000008-37E0-4F7B-99D9-142316554665}"/>
              </c:ext>
            </c:extLst>
          </c:dPt>
          <c:dPt>
            <c:idx val="5"/>
            <c:marker>
              <c:symbol val="circle"/>
              <c:size val="5"/>
              <c:spPr>
                <a:solidFill>
                  <a:srgbClr val="C65D3B"/>
                </a:solidFill>
                <a:ln w="9525">
                  <a:solidFill>
                    <a:schemeClr val="accent6">
                      <a:shade val="76000"/>
                    </a:schemeClr>
                  </a:solidFill>
                </a:ln>
                <a:effectLst/>
              </c:spPr>
            </c:marker>
            <c:bubble3D val="0"/>
            <c:extLst>
              <c:ext xmlns:c16="http://schemas.microsoft.com/office/drawing/2014/chart" uri="{C3380CC4-5D6E-409C-BE32-E72D297353CC}">
                <c16:uniqueId val="{0000000A-37E0-4F7B-99D9-142316554665}"/>
              </c:ext>
            </c:extLst>
          </c:dPt>
          <c:dPt>
            <c:idx val="6"/>
            <c:marker>
              <c:symbol val="circle"/>
              <c:size val="5"/>
              <c:spPr>
                <a:solidFill>
                  <a:srgbClr val="C65D3B"/>
                </a:solidFill>
                <a:ln w="9525">
                  <a:solidFill>
                    <a:schemeClr val="accent6">
                      <a:shade val="76000"/>
                    </a:schemeClr>
                  </a:solidFill>
                </a:ln>
                <a:effectLst/>
              </c:spPr>
            </c:marker>
            <c:bubble3D val="0"/>
            <c:extLst>
              <c:ext xmlns:c16="http://schemas.microsoft.com/office/drawing/2014/chart" uri="{C3380CC4-5D6E-409C-BE32-E72D297353CC}">
                <c16:uniqueId val="{0000000C-37E0-4F7B-99D9-142316554665}"/>
              </c:ext>
            </c:extLst>
          </c:dPt>
          <c:cat>
            <c:strRef>
              <c:f>'Order Pivot'!$A$55:$A$59</c:f>
              <c:strCache>
                <c:ptCount val="4"/>
                <c:pt idx="0">
                  <c:v>Sunday</c:v>
                </c:pt>
                <c:pt idx="1">
                  <c:v>Monday</c:v>
                </c:pt>
                <c:pt idx="2">
                  <c:v>Tuesday</c:v>
                </c:pt>
                <c:pt idx="3">
                  <c:v>Wednesday</c:v>
                </c:pt>
              </c:strCache>
            </c:strRef>
          </c:cat>
          <c:val>
            <c:numRef>
              <c:f>'Order Pivot'!$C$55:$C$59</c:f>
              <c:numCache>
                <c:formatCode>General</c:formatCode>
                <c:ptCount val="4"/>
                <c:pt idx="0">
                  <c:v>2531.5552621508641</c:v>
                </c:pt>
                <c:pt idx="1">
                  <c:v>3850.1282876187988</c:v>
                </c:pt>
                <c:pt idx="2">
                  <c:v>2822.2420904603682</c:v>
                </c:pt>
                <c:pt idx="3">
                  <c:v>4280.4941005916207</c:v>
                </c:pt>
              </c:numCache>
            </c:numRef>
          </c:val>
          <c:smooth val="0"/>
          <c:extLst>
            <c:ext xmlns:c16="http://schemas.microsoft.com/office/drawing/2014/chart" uri="{C3380CC4-5D6E-409C-BE32-E72D297353CC}">
              <c16:uniqueId val="{0000000D-37E0-4F7B-99D9-142316554665}"/>
            </c:ext>
          </c:extLst>
        </c:ser>
        <c:dLbls>
          <c:showLegendKey val="0"/>
          <c:showVal val="0"/>
          <c:showCatName val="0"/>
          <c:showSerName val="0"/>
          <c:showPercent val="0"/>
          <c:showBubbleSize val="0"/>
        </c:dLbls>
        <c:marker val="1"/>
        <c:smooth val="0"/>
        <c:axId val="531326831"/>
        <c:axId val="531325999"/>
      </c:lineChart>
      <c:catAx>
        <c:axId val="53132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31325999"/>
        <c:crosses val="autoZero"/>
        <c:auto val="1"/>
        <c:lblAlgn val="ctr"/>
        <c:lblOffset val="100"/>
        <c:noMultiLvlLbl val="0"/>
      </c:catAx>
      <c:valAx>
        <c:axId val="53132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3132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Dashboard Excel Project.xlsx]Order Pivot!PivotTable4</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Day Wise Total Revenue</a:t>
            </a:r>
          </a:p>
        </c:rich>
      </c:tx>
      <c:layout>
        <c:manualLayout>
          <c:xMode val="edge"/>
          <c:yMode val="edge"/>
          <c:x val="0.28972222222222227"/>
          <c:y val="0.10546077573636629"/>
        </c:manualLayout>
      </c:layout>
      <c:overlay val="0"/>
      <c:spPr>
        <a:solidFill>
          <a:srgbClr val="2F7F7B"/>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rgbClr val="2F7F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F7F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7F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Pivot'!$B$29</c:f>
              <c:strCache>
                <c:ptCount val="1"/>
                <c:pt idx="0">
                  <c:v>Total</c:v>
                </c:pt>
              </c:strCache>
            </c:strRef>
          </c:tx>
          <c:spPr>
            <a:solidFill>
              <a:srgbClr val="2F7F7B"/>
            </a:solidFill>
            <a:ln>
              <a:noFill/>
            </a:ln>
            <a:effectLst/>
          </c:spPr>
          <c:invertIfNegative val="0"/>
          <c:cat>
            <c:strRef>
              <c:f>'Order Pivot'!$A$30:$A$34</c:f>
              <c:strCache>
                <c:ptCount val="4"/>
                <c:pt idx="0">
                  <c:v>Sunday</c:v>
                </c:pt>
                <c:pt idx="1">
                  <c:v>Monday</c:v>
                </c:pt>
                <c:pt idx="2">
                  <c:v>Tuesday</c:v>
                </c:pt>
                <c:pt idx="3">
                  <c:v>Wednesday</c:v>
                </c:pt>
              </c:strCache>
            </c:strRef>
          </c:cat>
          <c:val>
            <c:numRef>
              <c:f>'Order Pivot'!$B$30:$B$34</c:f>
              <c:numCache>
                <c:formatCode>0.00</c:formatCode>
                <c:ptCount val="4"/>
                <c:pt idx="0">
                  <c:v>2531.5552621508641</c:v>
                </c:pt>
                <c:pt idx="1">
                  <c:v>3850.1282876187988</c:v>
                </c:pt>
                <c:pt idx="2">
                  <c:v>2822.2420904603682</c:v>
                </c:pt>
                <c:pt idx="3">
                  <c:v>4280.4941005916207</c:v>
                </c:pt>
              </c:numCache>
            </c:numRef>
          </c:val>
          <c:extLst>
            <c:ext xmlns:c16="http://schemas.microsoft.com/office/drawing/2014/chart" uri="{C3380CC4-5D6E-409C-BE32-E72D297353CC}">
              <c16:uniqueId val="{00000000-DF55-466F-B980-CCE33E57D247}"/>
            </c:ext>
          </c:extLst>
        </c:ser>
        <c:dLbls>
          <c:showLegendKey val="0"/>
          <c:showVal val="0"/>
          <c:showCatName val="0"/>
          <c:showSerName val="0"/>
          <c:showPercent val="0"/>
          <c:showBubbleSize val="0"/>
        </c:dLbls>
        <c:gapWidth val="219"/>
        <c:overlap val="-27"/>
        <c:axId val="372274879"/>
        <c:axId val="372285695"/>
      </c:barChart>
      <c:catAx>
        <c:axId val="37227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2285695"/>
        <c:crosses val="autoZero"/>
        <c:auto val="1"/>
        <c:lblAlgn val="ctr"/>
        <c:lblOffset val="100"/>
        <c:noMultiLvlLbl val="0"/>
      </c:catAx>
      <c:valAx>
        <c:axId val="372285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227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Dashboard Excel Project.xlsx]Order Pivot!PivotTable7</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Product Wise Revenue vs Average</a:t>
            </a:r>
          </a:p>
        </c:rich>
      </c:tx>
      <c:overlay val="0"/>
      <c:spPr>
        <a:solidFill>
          <a:srgbClr val="C65D3B"/>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65D3B"/>
            </a:solidFill>
            <a:round/>
          </a:ln>
          <a:effectLst/>
        </c:spPr>
        <c:marker>
          <c:symbol val="circle"/>
          <c:size val="5"/>
          <c:spPr>
            <a:solidFill>
              <a:srgbClr val="C65D3B"/>
            </a:solidFill>
            <a:ln w="9525">
              <a:solidFill>
                <a:srgbClr val="C65D3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65D3B"/>
            </a:solidFill>
            <a:round/>
          </a:ln>
          <a:effectLst/>
        </c:spPr>
        <c:marker>
          <c:symbol val="circle"/>
          <c:size val="5"/>
          <c:spPr>
            <a:solidFill>
              <a:srgbClr val="C65D3B"/>
            </a:solidFill>
            <a:ln w="9525">
              <a:solidFill>
                <a:srgbClr val="C65D3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65D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2F7F7B"/>
            </a:solidFill>
            <a:round/>
          </a:ln>
          <a:effectLst/>
        </c:spPr>
        <c:marker>
          <c:symbol val="circle"/>
          <c:size val="5"/>
          <c:spPr>
            <a:solidFill>
              <a:srgbClr val="2F7F7B"/>
            </a:solidFill>
            <a:ln w="9525">
              <a:solidFill>
                <a:srgbClr val="2F7F7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Pivot'!$B$66</c:f>
              <c:strCache>
                <c:ptCount val="1"/>
                <c:pt idx="0">
                  <c:v>Revenue</c:v>
                </c:pt>
              </c:strCache>
            </c:strRef>
          </c:tx>
          <c:spPr>
            <a:solidFill>
              <a:srgbClr val="C65D3B"/>
            </a:solidFill>
            <a:ln>
              <a:noFill/>
            </a:ln>
            <a:effectLst/>
          </c:spPr>
          <c:invertIfNegative val="0"/>
          <c:cat>
            <c:strRef>
              <c:f>'Order Pivot'!$A$67:$A$71</c:f>
              <c:strCache>
                <c:ptCount val="4"/>
                <c:pt idx="0">
                  <c:v>Large Paneer Tikka Pizzabun</c:v>
                </c:pt>
                <c:pt idx="1">
                  <c:v>Medium Crispy Chole Pizzabun</c:v>
                </c:pt>
                <c:pt idx="2">
                  <c:v>Minty Pizzabun</c:v>
                </c:pt>
                <c:pt idx="3">
                  <c:v>Paneer Tikka Pizzabun</c:v>
                </c:pt>
              </c:strCache>
            </c:strRef>
          </c:cat>
          <c:val>
            <c:numRef>
              <c:f>'Order Pivot'!$B$67:$B$71</c:f>
              <c:numCache>
                <c:formatCode>General</c:formatCode>
                <c:ptCount val="4"/>
                <c:pt idx="0">
                  <c:v>4473.9217421741005</c:v>
                </c:pt>
                <c:pt idx="1">
                  <c:v>4540.950655892123</c:v>
                </c:pt>
                <c:pt idx="2">
                  <c:v>2293.208149113173</c:v>
                </c:pt>
                <c:pt idx="3">
                  <c:v>2176.3391936422531</c:v>
                </c:pt>
              </c:numCache>
            </c:numRef>
          </c:val>
          <c:extLst>
            <c:ext xmlns:c16="http://schemas.microsoft.com/office/drawing/2014/chart" uri="{C3380CC4-5D6E-409C-BE32-E72D297353CC}">
              <c16:uniqueId val="{00000000-09A9-4546-9C16-2F0009EE8C63}"/>
            </c:ext>
          </c:extLst>
        </c:ser>
        <c:dLbls>
          <c:showLegendKey val="0"/>
          <c:showVal val="0"/>
          <c:showCatName val="0"/>
          <c:showSerName val="0"/>
          <c:showPercent val="0"/>
          <c:showBubbleSize val="0"/>
        </c:dLbls>
        <c:gapWidth val="219"/>
        <c:overlap val="-27"/>
        <c:axId val="830405247"/>
        <c:axId val="830401503"/>
      </c:barChart>
      <c:lineChart>
        <c:grouping val="standard"/>
        <c:varyColors val="0"/>
        <c:ser>
          <c:idx val="1"/>
          <c:order val="1"/>
          <c:tx>
            <c:strRef>
              <c:f>'Order Pivot'!$C$66</c:f>
              <c:strCache>
                <c:ptCount val="1"/>
                <c:pt idx="0">
                  <c:v>Average</c:v>
                </c:pt>
              </c:strCache>
            </c:strRef>
          </c:tx>
          <c:spPr>
            <a:ln w="28575" cap="rnd">
              <a:solidFill>
                <a:srgbClr val="2F7F7B"/>
              </a:solidFill>
              <a:round/>
            </a:ln>
            <a:effectLst/>
          </c:spPr>
          <c:marker>
            <c:symbol val="circle"/>
            <c:size val="5"/>
            <c:spPr>
              <a:solidFill>
                <a:srgbClr val="2F7F7B"/>
              </a:solidFill>
              <a:ln w="9525">
                <a:solidFill>
                  <a:srgbClr val="2F7F7B"/>
                </a:solidFill>
              </a:ln>
              <a:effectLst/>
            </c:spPr>
          </c:marker>
          <c:cat>
            <c:strRef>
              <c:f>'Order Pivot'!$A$67:$A$71</c:f>
              <c:strCache>
                <c:ptCount val="4"/>
                <c:pt idx="0">
                  <c:v>Large Paneer Tikka Pizzabun</c:v>
                </c:pt>
                <c:pt idx="1">
                  <c:v>Medium Crispy Chole Pizzabun</c:v>
                </c:pt>
                <c:pt idx="2">
                  <c:v>Minty Pizzabun</c:v>
                </c:pt>
                <c:pt idx="3">
                  <c:v>Paneer Tikka Pizzabun</c:v>
                </c:pt>
              </c:strCache>
            </c:strRef>
          </c:cat>
          <c:val>
            <c:numRef>
              <c:f>'Order Pivot'!$C$67:$C$71</c:f>
              <c:numCache>
                <c:formatCode>General</c:formatCode>
                <c:ptCount val="4"/>
                <c:pt idx="0">
                  <c:v>406.72015837946367</c:v>
                </c:pt>
                <c:pt idx="1">
                  <c:v>324.35361827800881</c:v>
                </c:pt>
                <c:pt idx="2">
                  <c:v>458.64162982263463</c:v>
                </c:pt>
                <c:pt idx="3">
                  <c:v>241.81546596025035</c:v>
                </c:pt>
              </c:numCache>
            </c:numRef>
          </c:val>
          <c:smooth val="0"/>
          <c:extLst>
            <c:ext xmlns:c16="http://schemas.microsoft.com/office/drawing/2014/chart" uri="{C3380CC4-5D6E-409C-BE32-E72D297353CC}">
              <c16:uniqueId val="{00000001-09A9-4546-9C16-2F0009EE8C63}"/>
            </c:ext>
          </c:extLst>
        </c:ser>
        <c:dLbls>
          <c:showLegendKey val="0"/>
          <c:showVal val="0"/>
          <c:showCatName val="0"/>
          <c:showSerName val="0"/>
          <c:showPercent val="0"/>
          <c:showBubbleSize val="0"/>
        </c:dLbls>
        <c:marker val="1"/>
        <c:smooth val="0"/>
        <c:axId val="830404415"/>
        <c:axId val="830402335"/>
      </c:lineChart>
      <c:catAx>
        <c:axId val="83040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0401503"/>
        <c:crosses val="autoZero"/>
        <c:auto val="1"/>
        <c:lblAlgn val="ctr"/>
        <c:lblOffset val="100"/>
        <c:noMultiLvlLbl val="0"/>
      </c:catAx>
      <c:valAx>
        <c:axId val="83040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0405247"/>
        <c:crosses val="autoZero"/>
        <c:crossBetween val="between"/>
      </c:valAx>
      <c:valAx>
        <c:axId val="8304023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0404415"/>
        <c:crosses val="max"/>
        <c:crossBetween val="between"/>
      </c:valAx>
      <c:catAx>
        <c:axId val="830404415"/>
        <c:scaling>
          <c:orientation val="minMax"/>
        </c:scaling>
        <c:delete val="1"/>
        <c:axPos val="b"/>
        <c:numFmt formatCode="General" sourceLinked="1"/>
        <c:majorTickMark val="out"/>
        <c:minorTickMark val="none"/>
        <c:tickLblPos val="nextTo"/>
        <c:crossAx val="8304023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hyperlink" Target="https://freepngimg.com/png/25641-order-now-free-download" TargetMode="External"/><Relationship Id="rId7" Type="http://schemas.openxmlformats.org/officeDocument/2006/relationships/image" Target="../media/image5.png"/><Relationship Id="rId12"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4.xml"/><Relationship Id="rId5" Type="http://schemas.openxmlformats.org/officeDocument/2006/relationships/image" Target="../media/image3.png"/><Relationship Id="rId10" Type="http://schemas.openxmlformats.org/officeDocument/2006/relationships/chart" Target="../charts/chart3.xml"/><Relationship Id="rId4" Type="http://schemas.openxmlformats.org/officeDocument/2006/relationships/image" Target="../media/image2.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601980</xdr:colOff>
      <xdr:row>6</xdr:row>
      <xdr:rowOff>30480</xdr:rowOff>
    </xdr:to>
    <xdr:grpSp>
      <xdr:nvGrpSpPr>
        <xdr:cNvPr id="6" name="Group 5">
          <a:extLst>
            <a:ext uri="{FF2B5EF4-FFF2-40B4-BE49-F238E27FC236}">
              <a16:creationId xmlns:a16="http://schemas.microsoft.com/office/drawing/2014/main" id="{021BD1BC-AFF1-41A5-873C-BA908480A22B}"/>
            </a:ext>
          </a:extLst>
        </xdr:cNvPr>
        <xdr:cNvGrpSpPr/>
      </xdr:nvGrpSpPr>
      <xdr:grpSpPr>
        <a:xfrm>
          <a:off x="0" y="0"/>
          <a:ext cx="17061180" cy="1127760"/>
          <a:chOff x="0" y="0"/>
          <a:chExt cx="17061180" cy="1074420"/>
        </a:xfrm>
      </xdr:grpSpPr>
      <xdr:sp macro="" textlink="">
        <xdr:nvSpPr>
          <xdr:cNvPr id="2" name="Rectangle 1">
            <a:extLst>
              <a:ext uri="{FF2B5EF4-FFF2-40B4-BE49-F238E27FC236}">
                <a16:creationId xmlns:a16="http://schemas.microsoft.com/office/drawing/2014/main" id="{FE0956EF-A946-43F6-88F9-656FBA15D39C}"/>
              </a:ext>
            </a:extLst>
          </xdr:cNvPr>
          <xdr:cNvSpPr/>
        </xdr:nvSpPr>
        <xdr:spPr>
          <a:xfrm>
            <a:off x="0" y="38100"/>
            <a:ext cx="17061180" cy="1036320"/>
          </a:xfrm>
          <a:prstGeom prst="rect">
            <a:avLst/>
          </a:prstGeom>
          <a:solidFill>
            <a:srgbClr val="2B2B2B"/>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en-IN" sz="1800"/>
              <a:t>                        </a:t>
            </a:r>
            <a:r>
              <a:rPr lang="en-IN" sz="1800" baseline="0"/>
              <a:t>     </a:t>
            </a:r>
            <a:r>
              <a:rPr lang="en-IN" sz="1800"/>
              <a:t> </a:t>
            </a:r>
            <a:r>
              <a:rPr lang="en-IN" sz="3200" b="1" cap="none" spc="0">
                <a:ln w="6600">
                  <a:solidFill>
                    <a:schemeClr val="accent2"/>
                  </a:solidFill>
                  <a:prstDash val="solid"/>
                </a:ln>
                <a:solidFill>
                  <a:srgbClr val="FFFFFF"/>
                </a:solidFill>
                <a:effectLst>
                  <a:outerShdw dist="38100" dir="2700000" algn="tl" rotWithShape="0">
                    <a:schemeClr val="accent2"/>
                  </a:outerShdw>
                </a:effectLst>
              </a:rPr>
              <a:t>Order Dashboard</a:t>
            </a:r>
            <a:endParaRPr lang="en-IN" sz="3200"/>
          </a:p>
        </xdr:txBody>
      </xdr:sp>
      <xdr:pic>
        <xdr:nvPicPr>
          <xdr:cNvPr id="4" name="Picture 3">
            <a:extLst>
              <a:ext uri="{FF2B5EF4-FFF2-40B4-BE49-F238E27FC236}">
                <a16:creationId xmlns:a16="http://schemas.microsoft.com/office/drawing/2014/main" id="{DC92910B-AC59-4C35-A447-C370FB8C8BCA}"/>
              </a:ext>
            </a:extLst>
          </xdr:cNvPr>
          <xdr:cNvPicPr>
            <a:picLocks noChangeAspect="1"/>
          </xdr:cNvPicPr>
        </xdr:nvPicPr>
        <xdr:blipFill rotWithShape="1">
          <a:blip xmlns:r="http://schemas.openxmlformats.org/officeDocument/2006/relationships" r:embed="rId1">
            <a:alphaModFix/>
            <a:extLst>
              <a:ext uri="{BEBA8EAE-BF5A-486C-A8C5-ECC9F3942E4B}">
                <a14:imgProps xmlns:a14="http://schemas.microsoft.com/office/drawing/2010/main">
                  <a14:imgLayer r:embed="rId2">
                    <a14:imgEffect>
                      <a14:backgroundRemoval t="9526" b="85731" l="4611" r="41502">
                        <a14:backgroundMark x1="39139" y1="84524" x2="45205" y2="73016"/>
                        <a14:backgroundMark x1="41683" y1="16270" x2="41096" y2="16270"/>
                      </a14:backgroundRemoval>
                    </a14:imgEffect>
                    <a14:imgEffect>
                      <a14:sharpenSoften amount="25000"/>
                    </a14:imgEffect>
                    <a14:imgEffect>
                      <a14:brightnessContrast bright="20000" contrast="-4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rcRect l="-335" t="-4743" r="53887" b="4743"/>
          <a:stretch/>
        </xdr:blipFill>
        <xdr:spPr>
          <a:xfrm>
            <a:off x="350520" y="0"/>
            <a:ext cx="998220" cy="1059861"/>
          </a:xfrm>
          <a:prstGeom prst="rect">
            <a:avLst/>
          </a:prstGeom>
        </xdr:spPr>
      </xdr:pic>
    </xdr:grpSp>
    <xdr:clientData/>
  </xdr:twoCellAnchor>
  <xdr:twoCellAnchor editAs="oneCell">
    <xdr:from>
      <xdr:col>13</xdr:col>
      <xdr:colOff>243840</xdr:colOff>
      <xdr:row>0</xdr:row>
      <xdr:rowOff>53340</xdr:rowOff>
    </xdr:from>
    <xdr:to>
      <xdr:col>16</xdr:col>
      <xdr:colOff>243840</xdr:colOff>
      <xdr:row>5</xdr:row>
      <xdr:rowOff>152400</xdr:rowOff>
    </xdr:to>
    <mc:AlternateContent xmlns:mc="http://schemas.openxmlformats.org/markup-compatibility/2006" xmlns:a14="http://schemas.microsoft.com/office/drawing/2010/main">
      <mc:Choice Requires="a14">
        <xdr:graphicFrame macro="">
          <xdr:nvGraphicFramePr>
            <xdr:cNvPr id="7" name="Order Type">
              <a:extLst>
                <a:ext uri="{FF2B5EF4-FFF2-40B4-BE49-F238E27FC236}">
                  <a16:creationId xmlns:a16="http://schemas.microsoft.com/office/drawing/2014/main" id="{6E7F62EB-1DB8-4029-88B6-FFB6E8B7AE18}"/>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8168640" y="53340"/>
              <a:ext cx="1828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xdr:colOff>
      <xdr:row>0</xdr:row>
      <xdr:rowOff>76200</xdr:rowOff>
    </xdr:from>
    <xdr:to>
      <xdr:col>20</xdr:col>
      <xdr:colOff>38100</xdr:colOff>
      <xdr:row>6</xdr:row>
      <xdr:rowOff>0</xdr:rowOff>
    </xdr:to>
    <mc:AlternateContent xmlns:mc="http://schemas.openxmlformats.org/markup-compatibility/2006" xmlns:a14="http://schemas.microsoft.com/office/drawing/2010/main">
      <mc:Choice Requires="a14">
        <xdr:graphicFrame macro="">
          <xdr:nvGraphicFramePr>
            <xdr:cNvPr id="8" name="Agent">
              <a:extLst>
                <a:ext uri="{FF2B5EF4-FFF2-40B4-BE49-F238E27FC236}">
                  <a16:creationId xmlns:a16="http://schemas.microsoft.com/office/drawing/2014/main" id="{D6CCAF78-791D-44C1-B78F-526882F38AC7}"/>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10401300" y="76200"/>
              <a:ext cx="1828800" cy="102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6</xdr:row>
      <xdr:rowOff>30480</xdr:rowOff>
    </xdr:from>
    <xdr:to>
      <xdr:col>3</xdr:col>
      <xdr:colOff>15240</xdr:colOff>
      <xdr:row>18</xdr:row>
      <xdr:rowOff>95897</xdr:rowOff>
    </xdr:to>
    <mc:AlternateContent xmlns:mc="http://schemas.openxmlformats.org/markup-compatibility/2006" xmlns:a14="http://schemas.microsoft.com/office/drawing/2010/main">
      <mc:Choice Requires="a14">
        <xdr:graphicFrame macro="">
          <xdr:nvGraphicFramePr>
            <xdr:cNvPr id="9" name="Day">
              <a:extLst>
                <a:ext uri="{FF2B5EF4-FFF2-40B4-BE49-F238E27FC236}">
                  <a16:creationId xmlns:a16="http://schemas.microsoft.com/office/drawing/2014/main" id="{35DBD849-6488-4D14-B5B9-31720F766E53}"/>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5240" y="1127760"/>
              <a:ext cx="1828800" cy="2259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0</xdr:rowOff>
    </xdr:from>
    <xdr:to>
      <xdr:col>3</xdr:col>
      <xdr:colOff>0</xdr:colOff>
      <xdr:row>49</xdr:row>
      <xdr:rowOff>152400</xdr:rowOff>
    </xdr:to>
    <mc:AlternateContent xmlns:mc="http://schemas.openxmlformats.org/markup-compatibility/2006" xmlns:a14="http://schemas.microsoft.com/office/drawing/2010/main">
      <mc:Choice Requires="a14">
        <xdr:graphicFrame macro="">
          <xdr:nvGraphicFramePr>
            <xdr:cNvPr id="10" name="Sale Date">
              <a:extLst>
                <a:ext uri="{FF2B5EF4-FFF2-40B4-BE49-F238E27FC236}">
                  <a16:creationId xmlns:a16="http://schemas.microsoft.com/office/drawing/2014/main" id="{AC3862B0-3042-4679-81BC-0D48DB27C6B7}"/>
                </a:ext>
              </a:extLst>
            </xdr:cNvPr>
            <xdr:cNvGraphicFramePr/>
          </xdr:nvGraphicFramePr>
          <xdr:xfrm>
            <a:off x="0" y="0"/>
            <a:ext cx="0" cy="0"/>
          </xdr:xfrm>
          <a:graphic>
            <a:graphicData uri="http://schemas.microsoft.com/office/drawing/2010/slicer">
              <sle:slicer xmlns:sle="http://schemas.microsoft.com/office/drawing/2010/slicer" name="Sale Date"/>
            </a:graphicData>
          </a:graphic>
        </xdr:graphicFrame>
      </mc:Choice>
      <mc:Fallback xmlns="">
        <xdr:sp macro="" textlink="">
          <xdr:nvSpPr>
            <xdr:cNvPr id="0" name=""/>
            <xdr:cNvSpPr>
              <a:spLocks noTextEdit="1"/>
            </xdr:cNvSpPr>
          </xdr:nvSpPr>
          <xdr:spPr>
            <a:xfrm>
              <a:off x="0" y="3474720"/>
              <a:ext cx="1828800" cy="563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228600</xdr:colOff>
      <xdr:row>0</xdr:row>
      <xdr:rowOff>30480</xdr:rowOff>
    </xdr:from>
    <xdr:to>
      <xdr:col>23</xdr:col>
      <xdr:colOff>228600</xdr:colOff>
      <xdr:row>5</xdr:row>
      <xdr:rowOff>167640</xdr:rowOff>
    </xdr:to>
    <mc:AlternateContent xmlns:mc="http://schemas.openxmlformats.org/markup-compatibility/2006" xmlns:a14="http://schemas.microsoft.com/office/drawing/2010/main">
      <mc:Choice Requires="a14">
        <xdr:graphicFrame macro="">
          <xdr:nvGraphicFramePr>
            <xdr:cNvPr id="11" name="Product Name">
              <a:extLst>
                <a:ext uri="{FF2B5EF4-FFF2-40B4-BE49-F238E27FC236}">
                  <a16:creationId xmlns:a16="http://schemas.microsoft.com/office/drawing/2014/main" id="{68FA05DE-7A4D-45EA-B92D-4FCACD656D70}"/>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2420600" y="30480"/>
              <a:ext cx="182880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137160</xdr:colOff>
      <xdr:row>6</xdr:row>
      <xdr:rowOff>68579</xdr:rowOff>
    </xdr:from>
    <xdr:to>
      <xdr:col>7</xdr:col>
      <xdr:colOff>327660</xdr:colOff>
      <xdr:row>14</xdr:row>
      <xdr:rowOff>26204</xdr:rowOff>
    </xdr:to>
    <xdr:grpSp>
      <xdr:nvGrpSpPr>
        <xdr:cNvPr id="12" name="Group 11">
          <a:extLst>
            <a:ext uri="{FF2B5EF4-FFF2-40B4-BE49-F238E27FC236}">
              <a16:creationId xmlns:a16="http://schemas.microsoft.com/office/drawing/2014/main" id="{C52E3484-6F25-4011-8BA6-738300DF6EA0}"/>
            </a:ext>
          </a:extLst>
        </xdr:cNvPr>
        <xdr:cNvGrpSpPr/>
      </xdr:nvGrpSpPr>
      <xdr:grpSpPr>
        <a:xfrm>
          <a:off x="1965960" y="1165859"/>
          <a:ext cx="2628900" cy="1420665"/>
          <a:chOff x="2759058" y="906635"/>
          <a:chExt cx="2083093" cy="1138765"/>
        </a:xfrm>
        <a:effectLst>
          <a:outerShdw blurRad="63500" sx="102000" sy="102000" algn="ctr" rotWithShape="0">
            <a:prstClr val="black">
              <a:alpha val="40000"/>
            </a:prstClr>
          </a:outerShdw>
        </a:effectLst>
      </xdr:grpSpPr>
      <xdr:sp macro="" textlink="$A$3">
        <xdr:nvSpPr>
          <xdr:cNvPr id="13" name="Rectangle 12">
            <a:extLst>
              <a:ext uri="{FF2B5EF4-FFF2-40B4-BE49-F238E27FC236}">
                <a16:creationId xmlns:a16="http://schemas.microsoft.com/office/drawing/2014/main" id="{A15FC34C-C1EB-41FC-AF98-33D210DCBF82}"/>
              </a:ext>
            </a:extLst>
          </xdr:cNvPr>
          <xdr:cNvSpPr/>
        </xdr:nvSpPr>
        <xdr:spPr>
          <a:xfrm>
            <a:off x="2759058" y="906635"/>
            <a:ext cx="2083093" cy="1138765"/>
          </a:xfrm>
          <a:prstGeom prst="rect">
            <a:avLst/>
          </a:prstGeom>
          <a:solidFill>
            <a:srgbClr val="F5F1E8"/>
          </a:solidFill>
          <a:ln>
            <a:solidFill>
              <a:srgbClr val="D6A62C"/>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r>
              <a:rPr lang="en-US" sz="1200" b="1" i="0" u="none" strike="noStrike">
                <a:solidFill>
                  <a:schemeClr val="tx1"/>
                </a:solidFill>
                <a:latin typeface="Calibri"/>
                <a:ea typeface="Calibri"/>
                <a:cs typeface="Calibri"/>
              </a:rPr>
              <a:t>Total Revenue</a:t>
            </a:r>
          </a:p>
          <a:p>
            <a:pPr algn="r"/>
            <a:fld id="{2F9DEC64-46BF-46AF-B69E-F78B6AAC6E32}" type="TxLink">
              <a:rPr lang="en-US" sz="1600" b="1" i="0" u="none" strike="noStrike">
                <a:solidFill>
                  <a:schemeClr val="tx1"/>
                </a:solidFill>
                <a:latin typeface="Calibri"/>
                <a:ea typeface="Calibri"/>
                <a:cs typeface="Calibri"/>
              </a:rPr>
              <a:pPr algn="r"/>
              <a:t>₹ 2,33,697.53</a:t>
            </a:fld>
            <a:endParaRPr lang="en-IN" sz="1600" b="1">
              <a:solidFill>
                <a:schemeClr val="tx1"/>
              </a:solidFill>
            </a:endParaRPr>
          </a:p>
        </xdr:txBody>
      </xdr:sp>
      <xdr:pic>
        <xdr:nvPicPr>
          <xdr:cNvPr id="14" name="Picture 13">
            <a:extLst>
              <a:ext uri="{FF2B5EF4-FFF2-40B4-BE49-F238E27FC236}">
                <a16:creationId xmlns:a16="http://schemas.microsoft.com/office/drawing/2014/main" id="{45420C84-A8C4-400A-AE3F-57DBE3542100}"/>
              </a:ext>
            </a:extLst>
          </xdr:cNvPr>
          <xdr:cNvPicPr>
            <a:picLocks noChangeAspect="1"/>
          </xdr:cNvPicPr>
        </xdr:nvPicPr>
        <xdr:blipFill>
          <a:blip xmlns:r="http://schemas.openxmlformats.org/officeDocument/2006/relationships" r:embed="rId4"/>
          <a:stretch>
            <a:fillRect/>
          </a:stretch>
        </xdr:blipFill>
        <xdr:spPr>
          <a:xfrm>
            <a:off x="2882660" y="1023094"/>
            <a:ext cx="846211" cy="860340"/>
          </a:xfrm>
          <a:prstGeom prst="rect">
            <a:avLst/>
          </a:prstGeom>
        </xdr:spPr>
      </xdr:pic>
    </xdr:grpSp>
    <xdr:clientData/>
  </xdr:twoCellAnchor>
  <xdr:twoCellAnchor>
    <xdr:from>
      <xdr:col>8</xdr:col>
      <xdr:colOff>457200</xdr:colOff>
      <xdr:row>6</xdr:row>
      <xdr:rowOff>60960</xdr:rowOff>
    </xdr:from>
    <xdr:to>
      <xdr:col>12</xdr:col>
      <xdr:colOff>541844</xdr:colOff>
      <xdr:row>14</xdr:row>
      <xdr:rowOff>4010</xdr:rowOff>
    </xdr:to>
    <xdr:grpSp>
      <xdr:nvGrpSpPr>
        <xdr:cNvPr id="15" name="Group 14">
          <a:extLst>
            <a:ext uri="{FF2B5EF4-FFF2-40B4-BE49-F238E27FC236}">
              <a16:creationId xmlns:a16="http://schemas.microsoft.com/office/drawing/2014/main" id="{60F5A63D-9529-4470-8FB9-4986A69DC388}"/>
            </a:ext>
          </a:extLst>
        </xdr:cNvPr>
        <xdr:cNvGrpSpPr/>
      </xdr:nvGrpSpPr>
      <xdr:grpSpPr>
        <a:xfrm>
          <a:off x="5334000" y="1158240"/>
          <a:ext cx="2523044" cy="1406090"/>
          <a:chOff x="2990491" y="2738887"/>
          <a:chExt cx="2523044" cy="1267026"/>
        </a:xfrm>
        <a:effectLst>
          <a:outerShdw blurRad="50800" dist="38100" dir="5400000" algn="t" rotWithShape="0">
            <a:prstClr val="black">
              <a:alpha val="40000"/>
            </a:prstClr>
          </a:outerShdw>
        </a:effectLst>
      </xdr:grpSpPr>
      <xdr:sp macro="" textlink="$C$3">
        <xdr:nvSpPr>
          <xdr:cNvPr id="16" name="Rectangle 15">
            <a:extLst>
              <a:ext uri="{FF2B5EF4-FFF2-40B4-BE49-F238E27FC236}">
                <a16:creationId xmlns:a16="http://schemas.microsoft.com/office/drawing/2014/main" id="{3E2301FC-3B58-47A4-A2D9-7CE7A36E23EB}"/>
              </a:ext>
            </a:extLst>
          </xdr:cNvPr>
          <xdr:cNvSpPr/>
        </xdr:nvSpPr>
        <xdr:spPr>
          <a:xfrm>
            <a:off x="2990491" y="2738887"/>
            <a:ext cx="2523044" cy="1267026"/>
          </a:xfrm>
          <a:prstGeom prst="rect">
            <a:avLst/>
          </a:prstGeom>
          <a:ln>
            <a:solidFill>
              <a:srgbClr val="D6A62C"/>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r>
              <a:rPr lang="en-US" sz="1200" b="1" i="0" u="none" strike="noStrike">
                <a:solidFill>
                  <a:srgbClr val="000000"/>
                </a:solidFill>
                <a:latin typeface="Calibri"/>
                <a:ea typeface="Calibri"/>
                <a:cs typeface="Calibri"/>
              </a:rPr>
              <a:t>Average Revenue</a:t>
            </a:r>
          </a:p>
          <a:p>
            <a:pPr algn="r"/>
            <a:fld id="{F8997E95-0BAB-4126-9E7C-D83ACB7D66CB}" type="TxLink">
              <a:rPr lang="en-US" sz="1600" b="1" i="0" u="none" strike="noStrike">
                <a:solidFill>
                  <a:srgbClr val="000000"/>
                </a:solidFill>
                <a:latin typeface="Calibri"/>
                <a:ea typeface="Calibri"/>
                <a:cs typeface="Calibri"/>
              </a:rPr>
              <a:pPr algn="r"/>
              <a:t>₹ 294.33</a:t>
            </a:fld>
            <a:endParaRPr lang="en-IN" sz="1600" b="1"/>
          </a:p>
        </xdr:txBody>
      </xdr:sp>
      <xdr:pic>
        <xdr:nvPicPr>
          <xdr:cNvPr id="17" name="Picture 16">
            <a:extLst>
              <a:ext uri="{FF2B5EF4-FFF2-40B4-BE49-F238E27FC236}">
                <a16:creationId xmlns:a16="http://schemas.microsoft.com/office/drawing/2014/main" id="{C4DBEBEE-4024-45FC-B91E-D1B01F00E7F3}"/>
              </a:ext>
            </a:extLst>
          </xdr:cNvPr>
          <xdr:cNvPicPr>
            <a:picLocks noChangeAspect="1"/>
          </xdr:cNvPicPr>
        </xdr:nvPicPr>
        <xdr:blipFill>
          <a:blip xmlns:r="http://schemas.openxmlformats.org/officeDocument/2006/relationships" r:embed="rId5"/>
          <a:stretch>
            <a:fillRect/>
          </a:stretch>
        </xdr:blipFill>
        <xdr:spPr>
          <a:xfrm>
            <a:off x="3216451" y="2947358"/>
            <a:ext cx="837963" cy="885009"/>
          </a:xfrm>
          <a:prstGeom prst="rect">
            <a:avLst/>
          </a:prstGeom>
        </xdr:spPr>
      </xdr:pic>
    </xdr:grpSp>
    <xdr:clientData/>
  </xdr:twoCellAnchor>
  <xdr:twoCellAnchor>
    <xdr:from>
      <xdr:col>14</xdr:col>
      <xdr:colOff>96883</xdr:colOff>
      <xdr:row>6</xdr:row>
      <xdr:rowOff>38100</xdr:rowOff>
    </xdr:from>
    <xdr:to>
      <xdr:col>18</xdr:col>
      <xdr:colOff>196086</xdr:colOff>
      <xdr:row>14</xdr:row>
      <xdr:rowOff>7620</xdr:rowOff>
    </xdr:to>
    <xdr:grpSp>
      <xdr:nvGrpSpPr>
        <xdr:cNvPr id="18" name="Group 17">
          <a:extLst>
            <a:ext uri="{FF2B5EF4-FFF2-40B4-BE49-F238E27FC236}">
              <a16:creationId xmlns:a16="http://schemas.microsoft.com/office/drawing/2014/main" id="{E4F27033-2F25-48C6-BA16-ABD2C9BCFF90}"/>
            </a:ext>
          </a:extLst>
        </xdr:cNvPr>
        <xdr:cNvGrpSpPr/>
      </xdr:nvGrpSpPr>
      <xdr:grpSpPr>
        <a:xfrm>
          <a:off x="8631283" y="1135380"/>
          <a:ext cx="2537603" cy="1432560"/>
          <a:chOff x="2983303" y="4018471"/>
          <a:chExt cx="2537603" cy="1207698"/>
        </a:xfrm>
        <a:effectLst>
          <a:outerShdw blurRad="50800" dist="38100" dir="5400000" algn="t" rotWithShape="0">
            <a:prstClr val="black">
              <a:alpha val="40000"/>
            </a:prstClr>
          </a:outerShdw>
        </a:effectLst>
      </xdr:grpSpPr>
      <xdr:sp macro="" textlink="$D$3">
        <xdr:nvSpPr>
          <xdr:cNvPr id="19" name="Rectangle 18">
            <a:extLst>
              <a:ext uri="{FF2B5EF4-FFF2-40B4-BE49-F238E27FC236}">
                <a16:creationId xmlns:a16="http://schemas.microsoft.com/office/drawing/2014/main" id="{CAF4218E-5207-4191-96A7-07BD3C68EC9D}"/>
              </a:ext>
            </a:extLst>
          </xdr:cNvPr>
          <xdr:cNvSpPr/>
        </xdr:nvSpPr>
        <xdr:spPr>
          <a:xfrm>
            <a:off x="2983303" y="4018471"/>
            <a:ext cx="2537603" cy="1207698"/>
          </a:xfrm>
          <a:prstGeom prst="rect">
            <a:avLst/>
          </a:prstGeom>
          <a:ln>
            <a:solidFill>
              <a:srgbClr val="D6A62C"/>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r>
              <a:rPr lang="en-US" sz="1200" b="1" i="0" u="none" strike="noStrike">
                <a:solidFill>
                  <a:srgbClr val="000000"/>
                </a:solidFill>
                <a:latin typeface="Calibri"/>
                <a:ea typeface="Calibri"/>
                <a:cs typeface="Calibri"/>
              </a:rPr>
              <a:t>Total Orders</a:t>
            </a:r>
          </a:p>
          <a:p>
            <a:pPr algn="r"/>
            <a:fld id="{D71760D2-F554-4F79-B919-22048FA86F34}" type="TxLink">
              <a:rPr lang="en-US" sz="1600" b="1" i="0" u="none" strike="noStrike">
                <a:solidFill>
                  <a:srgbClr val="000000"/>
                </a:solidFill>
                <a:latin typeface="Calibri"/>
                <a:ea typeface="Calibri"/>
                <a:cs typeface="Calibri"/>
              </a:rPr>
              <a:pPr algn="r"/>
              <a:t>794</a:t>
            </a:fld>
            <a:endParaRPr lang="en-IN" sz="1600" b="1"/>
          </a:p>
        </xdr:txBody>
      </xdr:sp>
      <xdr:pic>
        <xdr:nvPicPr>
          <xdr:cNvPr id="20" name="Picture 19">
            <a:extLst>
              <a:ext uri="{FF2B5EF4-FFF2-40B4-BE49-F238E27FC236}">
                <a16:creationId xmlns:a16="http://schemas.microsoft.com/office/drawing/2014/main" id="{35491C34-BF99-4DD6-B26A-4CFC32FD7B41}"/>
              </a:ext>
            </a:extLst>
          </xdr:cNvPr>
          <xdr:cNvPicPr>
            <a:picLocks noChangeAspect="1"/>
          </xdr:cNvPicPr>
        </xdr:nvPicPr>
        <xdr:blipFill>
          <a:blip xmlns:r="http://schemas.openxmlformats.org/officeDocument/2006/relationships" r:embed="rId6"/>
          <a:stretch>
            <a:fillRect/>
          </a:stretch>
        </xdr:blipFill>
        <xdr:spPr>
          <a:xfrm>
            <a:off x="3291116" y="4227231"/>
            <a:ext cx="891002" cy="776090"/>
          </a:xfrm>
          <a:prstGeom prst="rect">
            <a:avLst/>
          </a:prstGeom>
        </xdr:spPr>
      </xdr:pic>
    </xdr:grpSp>
    <xdr:clientData/>
  </xdr:twoCellAnchor>
  <xdr:twoCellAnchor>
    <xdr:from>
      <xdr:col>19</xdr:col>
      <xdr:colOff>451757</xdr:colOff>
      <xdr:row>6</xdr:row>
      <xdr:rowOff>60960</xdr:rowOff>
    </xdr:from>
    <xdr:to>
      <xdr:col>23</xdr:col>
      <xdr:colOff>565340</xdr:colOff>
      <xdr:row>13</xdr:row>
      <xdr:rowOff>176096</xdr:rowOff>
    </xdr:to>
    <xdr:grpSp>
      <xdr:nvGrpSpPr>
        <xdr:cNvPr id="21" name="Group 20">
          <a:extLst>
            <a:ext uri="{FF2B5EF4-FFF2-40B4-BE49-F238E27FC236}">
              <a16:creationId xmlns:a16="http://schemas.microsoft.com/office/drawing/2014/main" id="{72542D14-BF8B-43AE-ADCB-A2EFDA060F49}"/>
            </a:ext>
          </a:extLst>
        </xdr:cNvPr>
        <xdr:cNvGrpSpPr/>
      </xdr:nvGrpSpPr>
      <xdr:grpSpPr>
        <a:xfrm>
          <a:off x="12034157" y="1158240"/>
          <a:ext cx="2551983" cy="1395296"/>
          <a:chOff x="5815641" y="898585"/>
          <a:chExt cx="2336034" cy="1131642"/>
        </a:xfrm>
        <a:effectLst>
          <a:outerShdw blurRad="50800" dist="38100" dir="5400000" algn="t" rotWithShape="0">
            <a:prstClr val="black">
              <a:alpha val="40000"/>
            </a:prstClr>
          </a:outerShdw>
        </a:effectLst>
      </xdr:grpSpPr>
      <xdr:sp macro="" textlink="$B$3">
        <xdr:nvSpPr>
          <xdr:cNvPr id="22" name="Rectangle 21">
            <a:extLst>
              <a:ext uri="{FF2B5EF4-FFF2-40B4-BE49-F238E27FC236}">
                <a16:creationId xmlns:a16="http://schemas.microsoft.com/office/drawing/2014/main" id="{D403D19E-2E62-4CB0-AAED-4EA8DD811B71}"/>
              </a:ext>
            </a:extLst>
          </xdr:cNvPr>
          <xdr:cNvSpPr/>
        </xdr:nvSpPr>
        <xdr:spPr>
          <a:xfrm>
            <a:off x="5815641" y="898585"/>
            <a:ext cx="2336034" cy="1131642"/>
          </a:xfrm>
          <a:prstGeom prst="rect">
            <a:avLst/>
          </a:prstGeom>
          <a:ln>
            <a:solidFill>
              <a:srgbClr val="D6A62C"/>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r>
              <a:rPr lang="en-US" sz="1200" b="1" i="0" u="none" strike="noStrike">
                <a:solidFill>
                  <a:srgbClr val="000000"/>
                </a:solidFill>
                <a:latin typeface="Calibri"/>
                <a:ea typeface="Calibri"/>
                <a:cs typeface="Calibri"/>
              </a:rPr>
              <a:t>Average</a:t>
            </a:r>
            <a:r>
              <a:rPr lang="en-US" sz="1200" b="1" i="0" u="none" strike="noStrike" baseline="0">
                <a:solidFill>
                  <a:srgbClr val="000000"/>
                </a:solidFill>
                <a:latin typeface="Calibri"/>
                <a:ea typeface="Calibri"/>
                <a:cs typeface="Calibri"/>
              </a:rPr>
              <a:t> Discount</a:t>
            </a:r>
            <a:endParaRPr lang="en-US" sz="1200" b="1" i="0" u="none" strike="noStrike">
              <a:solidFill>
                <a:srgbClr val="000000"/>
              </a:solidFill>
              <a:latin typeface="Calibri"/>
              <a:ea typeface="Calibri"/>
              <a:cs typeface="Calibri"/>
            </a:endParaRPr>
          </a:p>
          <a:p>
            <a:pPr algn="r"/>
            <a:fld id="{4DD7CF89-21E2-4E81-96A1-B0BA4D31D3BC}" type="TxLink">
              <a:rPr lang="en-US" sz="1600" b="1" i="0" u="none" strike="noStrike">
                <a:solidFill>
                  <a:srgbClr val="000000"/>
                </a:solidFill>
                <a:latin typeface="Calibri"/>
                <a:ea typeface="Calibri"/>
                <a:cs typeface="Calibri"/>
              </a:rPr>
              <a:pPr algn="r"/>
              <a:t>₹ 0.47</a:t>
            </a:fld>
            <a:endParaRPr lang="en-IN" sz="1600" b="1"/>
          </a:p>
        </xdr:txBody>
      </xdr:sp>
      <xdr:pic>
        <xdr:nvPicPr>
          <xdr:cNvPr id="23" name="Picture 22">
            <a:extLst>
              <a:ext uri="{FF2B5EF4-FFF2-40B4-BE49-F238E27FC236}">
                <a16:creationId xmlns:a16="http://schemas.microsoft.com/office/drawing/2014/main" id="{F59FB88E-DFBE-4D41-9E59-CB05CC990DD9}"/>
              </a:ext>
            </a:extLst>
          </xdr:cNvPr>
          <xdr:cNvPicPr>
            <a:picLocks noChangeAspect="1"/>
          </xdr:cNvPicPr>
        </xdr:nvPicPr>
        <xdr:blipFill>
          <a:blip xmlns:r="http://schemas.openxmlformats.org/officeDocument/2006/relationships" r:embed="rId7"/>
          <a:stretch>
            <a:fillRect/>
          </a:stretch>
        </xdr:blipFill>
        <xdr:spPr>
          <a:xfrm>
            <a:off x="5997228" y="1044659"/>
            <a:ext cx="810452" cy="784723"/>
          </a:xfrm>
          <a:prstGeom prst="rect">
            <a:avLst/>
          </a:prstGeom>
        </xdr:spPr>
      </xdr:pic>
    </xdr:grpSp>
    <xdr:clientData/>
  </xdr:twoCellAnchor>
  <xdr:twoCellAnchor>
    <xdr:from>
      <xdr:col>17</xdr:col>
      <xdr:colOff>541020</xdr:colOff>
      <xdr:row>32</xdr:row>
      <xdr:rowOff>99060</xdr:rowOff>
    </xdr:from>
    <xdr:to>
      <xdr:col>24</xdr:col>
      <xdr:colOff>38100</xdr:colOff>
      <xdr:row>49</xdr:row>
      <xdr:rowOff>60960</xdr:rowOff>
    </xdr:to>
    <xdr:graphicFrame macro="">
      <xdr:nvGraphicFramePr>
        <xdr:cNvPr id="24" name="Chart 23">
          <a:extLst>
            <a:ext uri="{FF2B5EF4-FFF2-40B4-BE49-F238E27FC236}">
              <a16:creationId xmlns:a16="http://schemas.microsoft.com/office/drawing/2014/main" id="{7FBB22E4-C01A-4100-AD12-4F6761033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213360</xdr:colOff>
      <xdr:row>14</xdr:row>
      <xdr:rowOff>137160</xdr:rowOff>
    </xdr:from>
    <xdr:to>
      <xdr:col>17</xdr:col>
      <xdr:colOff>388620</xdr:colOff>
      <xdr:row>31</xdr:row>
      <xdr:rowOff>106680</xdr:rowOff>
    </xdr:to>
    <xdr:graphicFrame macro="">
      <xdr:nvGraphicFramePr>
        <xdr:cNvPr id="25" name="Chart 24">
          <a:extLst>
            <a:ext uri="{FF2B5EF4-FFF2-40B4-BE49-F238E27FC236}">
              <a16:creationId xmlns:a16="http://schemas.microsoft.com/office/drawing/2014/main" id="{56448485-DBBB-4B7C-88E6-DD78FEF04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548640</xdr:colOff>
      <xdr:row>14</xdr:row>
      <xdr:rowOff>144780</xdr:rowOff>
    </xdr:from>
    <xdr:to>
      <xdr:col>23</xdr:col>
      <xdr:colOff>563880</xdr:colOff>
      <xdr:row>31</xdr:row>
      <xdr:rowOff>83820</xdr:rowOff>
    </xdr:to>
    <xdr:graphicFrame macro="">
      <xdr:nvGraphicFramePr>
        <xdr:cNvPr id="26" name="Chart 25">
          <a:extLst>
            <a:ext uri="{FF2B5EF4-FFF2-40B4-BE49-F238E27FC236}">
              <a16:creationId xmlns:a16="http://schemas.microsoft.com/office/drawing/2014/main" id="{60FEE1A1-0473-4188-9728-BA10F49A0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15240</xdr:colOff>
      <xdr:row>32</xdr:row>
      <xdr:rowOff>83820</xdr:rowOff>
    </xdr:from>
    <xdr:to>
      <xdr:col>10</xdr:col>
      <xdr:colOff>30480</xdr:colOff>
      <xdr:row>49</xdr:row>
      <xdr:rowOff>91440</xdr:rowOff>
    </xdr:to>
    <xdr:graphicFrame macro="">
      <xdr:nvGraphicFramePr>
        <xdr:cNvPr id="27" name="Chart 26">
          <a:extLst>
            <a:ext uri="{FF2B5EF4-FFF2-40B4-BE49-F238E27FC236}">
              <a16:creationId xmlns:a16="http://schemas.microsoft.com/office/drawing/2014/main" id="{06939BA8-8E80-4191-A08C-8F4DB2589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198120</xdr:colOff>
      <xdr:row>32</xdr:row>
      <xdr:rowOff>91440</xdr:rowOff>
    </xdr:from>
    <xdr:to>
      <xdr:col>17</xdr:col>
      <xdr:colOff>434340</xdr:colOff>
      <xdr:row>49</xdr:row>
      <xdr:rowOff>83820</xdr:rowOff>
    </xdr:to>
    <xdr:graphicFrame macro="">
      <xdr:nvGraphicFramePr>
        <xdr:cNvPr id="28" name="Chart 27">
          <a:extLst>
            <a:ext uri="{FF2B5EF4-FFF2-40B4-BE49-F238E27FC236}">
              <a16:creationId xmlns:a16="http://schemas.microsoft.com/office/drawing/2014/main" id="{2B07F272-F62B-4E93-BC06-8F8639EA8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22860</xdr:colOff>
      <xdr:row>14</xdr:row>
      <xdr:rowOff>144780</xdr:rowOff>
    </xdr:from>
    <xdr:to>
      <xdr:col>10</xdr:col>
      <xdr:colOff>22860</xdr:colOff>
      <xdr:row>31</xdr:row>
      <xdr:rowOff>114300</xdr:rowOff>
    </xdr:to>
    <xdr:graphicFrame macro="">
      <xdr:nvGraphicFramePr>
        <xdr:cNvPr id="29" name="Chart 28">
          <a:extLst>
            <a:ext uri="{FF2B5EF4-FFF2-40B4-BE49-F238E27FC236}">
              <a16:creationId xmlns:a16="http://schemas.microsoft.com/office/drawing/2014/main" id="{19609AC9-FFC5-454D-9779-4C6086583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9.598807175928" createdVersion="7" refreshedVersion="7" minRefreshableVersion="3" recordCount="794" xr:uid="{32BD07D8-C660-442D-92C3-0F79EE96B111}">
  <cacheSource type="worksheet">
    <worksheetSource name="Table3"/>
  </cacheSource>
  <cacheFields count="12">
    <cacheField name="Order ID" numFmtId="0">
      <sharedItems/>
    </cacheField>
    <cacheField name="Product ID" numFmtId="0">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cacheField>
    <cacheField name="Product Name" numFmtId="0">
      <sharedItems count="6">
        <s v="Paneer Tikka Pizzabun"/>
        <s v="Crispy Chole Pizzabun"/>
        <s v="Large Paneer Tikka Pizzabun"/>
        <s v="Medium Crispy Chole Pizzabun"/>
        <s v="Minty Pizzabun"/>
        <s v="Aloo Shots Pizzabun"/>
      </sharedItems>
    </cacheField>
    <cacheField name="Order Type" numFmtId="0">
      <sharedItems count="2">
        <s v="Online"/>
        <s v="Physical Visit"/>
      </sharedItems>
    </cacheField>
    <cacheField name="Price of One Product" numFmtId="0">
      <sharedItems containsSemiMixedTypes="0" containsString="0" containsNumber="1" containsInteger="1" minValue="60" maxValue="250"/>
    </cacheField>
    <cacheField name="Agent" numFmtId="0">
      <sharedItems count="3">
        <s v="Roch Cousineau"/>
        <s v="Adrien Martin"/>
        <s v="Albain Forestier"/>
      </sharedItems>
    </cacheField>
    <cacheField name="No of Products in one Sale" numFmtId="0">
      <sharedItems containsSemiMixedTypes="0" containsString="0" containsNumber="1" containsInteger="1" minValue="1" maxValue="15"/>
    </cacheField>
    <cacheField name="Discount" numFmtId="9">
      <sharedItems containsSemiMixedTypes="0" containsString="0" containsNumber="1" minValue="1.5109375019107807E-3" maxValue="0.99903910118615247"/>
    </cacheField>
    <cacheField name="Actual Sale" numFmtId="0">
      <sharedItems containsSemiMixedTypes="0" containsString="0" containsNumber="1" containsInteger="1" minValue="190" maxValue="1000"/>
    </cacheField>
    <cacheField name="Net Sale" numFmtId="2">
      <sharedItems containsSemiMixedTypes="0" containsString="0" containsNumber="1" minValue="0.6870426519009859" maxValue="980.97202334597569"/>
    </cacheField>
    <cacheField name="Day" numFmtId="0">
      <sharedItems count="7">
        <s v="Monday"/>
        <s v="Tuesday"/>
        <s v="Wednesday"/>
        <s v="Saturday"/>
        <s v="Thursday"/>
        <s v="Friday"/>
        <s v="Sunday"/>
      </sharedItems>
    </cacheField>
  </cacheFields>
  <extLst>
    <ext xmlns:x14="http://schemas.microsoft.com/office/spreadsheetml/2009/9/main" uri="{725AE2AE-9491-48be-B2B4-4EB974FC3084}">
      <x14:pivotCacheDefinition pivotCacheId="13184043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s v="PIZB0001"/>
    <x v="0"/>
    <x v="0"/>
    <x v="0"/>
    <n v="72"/>
    <x v="0"/>
    <n v="8"/>
    <n v="1.372080123313592E-2"/>
    <n v="576"/>
    <n v="568.09681848971377"/>
    <x v="0"/>
  </r>
  <r>
    <s v="PBOR00002"/>
    <s v="PIZB0002"/>
    <x v="1"/>
    <x v="1"/>
    <x v="1"/>
    <n v="65"/>
    <x v="1"/>
    <n v="7"/>
    <n v="2.2083854314921911E-2"/>
    <n v="455"/>
    <n v="444.95184628671052"/>
    <x v="1"/>
  </r>
  <r>
    <s v="PBOR00003"/>
    <s v="PIZB0003"/>
    <x v="2"/>
    <x v="2"/>
    <x v="0"/>
    <n v="250"/>
    <x v="2"/>
    <n v="3"/>
    <n v="0.92842323956324613"/>
    <n v="750"/>
    <n v="53.682570327565401"/>
    <x v="2"/>
  </r>
  <r>
    <s v="PBOR00004"/>
    <s v="PIZB0004"/>
    <x v="3"/>
    <x v="3"/>
    <x v="1"/>
    <n v="130"/>
    <x v="0"/>
    <n v="5"/>
    <n v="0.20990358910221096"/>
    <n v="650"/>
    <n v="513.56266708356293"/>
    <x v="3"/>
  </r>
  <r>
    <s v="PBOR00005"/>
    <s v="PIZB0001"/>
    <x v="4"/>
    <x v="0"/>
    <x v="0"/>
    <n v="72"/>
    <x v="1"/>
    <n v="4"/>
    <n v="0.184343159134289"/>
    <n v="288"/>
    <n v="234.90917016932477"/>
    <x v="4"/>
  </r>
  <r>
    <s v="PBOR00006"/>
    <s v="PIZB0002"/>
    <x v="5"/>
    <x v="1"/>
    <x v="1"/>
    <n v="65"/>
    <x v="2"/>
    <n v="8"/>
    <n v="0.11144429073382323"/>
    <n v="520"/>
    <n v="462.04896881841194"/>
    <x v="2"/>
  </r>
  <r>
    <s v="PBOR00007"/>
    <s v="PIZB0003"/>
    <x v="1"/>
    <x v="2"/>
    <x v="0"/>
    <n v="250"/>
    <x v="0"/>
    <n v="3"/>
    <n v="0.56286929186816415"/>
    <n v="750"/>
    <n v="327.8480310988769"/>
    <x v="1"/>
  </r>
  <r>
    <s v="PBOR00009"/>
    <s v="PIZB0004"/>
    <x v="6"/>
    <x v="3"/>
    <x v="1"/>
    <n v="130"/>
    <x v="1"/>
    <n v="6"/>
    <n v="3.138956050307417E-2"/>
    <n v="780"/>
    <n v="755.51614280760214"/>
    <x v="0"/>
  </r>
  <r>
    <s v="PBOR00010"/>
    <s v="PIZB0005"/>
    <x v="7"/>
    <x v="4"/>
    <x v="0"/>
    <n v="60"/>
    <x v="2"/>
    <n v="7"/>
    <n v="0.23798278495106248"/>
    <n v="420"/>
    <n v="320.04723032055375"/>
    <x v="5"/>
  </r>
  <r>
    <s v="PBOR00011"/>
    <s v="PIZB0001"/>
    <x v="6"/>
    <x v="0"/>
    <x v="1"/>
    <n v="72"/>
    <x v="0"/>
    <n v="9"/>
    <n v="0.19712344024473996"/>
    <n v="648"/>
    <n v="520.26401072140857"/>
    <x v="0"/>
  </r>
  <r>
    <s v="PBOR00012"/>
    <s v="PIZB0002"/>
    <x v="2"/>
    <x v="1"/>
    <x v="0"/>
    <n v="65"/>
    <x v="1"/>
    <n v="4"/>
    <n v="6.8295799738434873E-2"/>
    <n v="260"/>
    <n v="242.24309206800692"/>
    <x v="2"/>
  </r>
  <r>
    <s v="PBOR00013"/>
    <s v="PIZB0003"/>
    <x v="8"/>
    <x v="2"/>
    <x v="1"/>
    <n v="250"/>
    <x v="2"/>
    <n v="3"/>
    <n v="1.6828522965904168E-2"/>
    <n v="750"/>
    <n v="737.37860777557182"/>
    <x v="6"/>
  </r>
  <r>
    <s v="PBOR00014"/>
    <s v="PIZB0004"/>
    <x v="9"/>
    <x v="3"/>
    <x v="0"/>
    <n v="130"/>
    <x v="0"/>
    <n v="5"/>
    <n v="0.26661284065553453"/>
    <n v="650"/>
    <n v="476.70165357390249"/>
    <x v="3"/>
  </r>
  <r>
    <s v="PBOR00015"/>
    <s v="PIZB0001"/>
    <x v="4"/>
    <x v="0"/>
    <x v="1"/>
    <n v="72"/>
    <x v="1"/>
    <n v="12"/>
    <n v="0.21251347110701568"/>
    <n v="864"/>
    <n v="680.3883609635385"/>
    <x v="4"/>
  </r>
  <r>
    <s v="PBOR00016"/>
    <s v="PIZB0002"/>
    <x v="10"/>
    <x v="1"/>
    <x v="0"/>
    <n v="65"/>
    <x v="2"/>
    <n v="4"/>
    <n v="0.10994257661413849"/>
    <n v="260"/>
    <n v="231.41493008032398"/>
    <x v="6"/>
  </r>
  <r>
    <s v="PBOR00017"/>
    <s v="PIZB0003"/>
    <x v="10"/>
    <x v="2"/>
    <x v="1"/>
    <n v="250"/>
    <x v="0"/>
    <n v="3"/>
    <n v="0.53607498908607099"/>
    <n v="750"/>
    <n v="347.94375818544677"/>
    <x v="6"/>
  </r>
  <r>
    <s v="PBOR00018"/>
    <s v="PIZB0004"/>
    <x v="6"/>
    <x v="3"/>
    <x v="0"/>
    <n v="130"/>
    <x v="1"/>
    <n v="5"/>
    <n v="3.7515550327758003E-2"/>
    <n v="650"/>
    <n v="625.61489228695734"/>
    <x v="0"/>
  </r>
  <r>
    <s v="PBOR00019"/>
    <s v="PIZB0005"/>
    <x v="9"/>
    <x v="4"/>
    <x v="0"/>
    <n v="60"/>
    <x v="2"/>
    <n v="13"/>
    <n v="2.4938289886663061E-2"/>
    <n v="780"/>
    <n v="760.54813388840284"/>
    <x v="3"/>
  </r>
  <r>
    <s v="PBOR00020"/>
    <s v="PIZB0006"/>
    <x v="10"/>
    <x v="5"/>
    <x v="1"/>
    <n v="95"/>
    <x v="0"/>
    <n v="5"/>
    <n v="1.0123391970414241E-2"/>
    <n v="475"/>
    <n v="470.19138881405325"/>
    <x v="6"/>
  </r>
  <r>
    <s v="PBOR00021"/>
    <s v="PIZB0001"/>
    <x v="9"/>
    <x v="0"/>
    <x v="1"/>
    <n v="72"/>
    <x v="1"/>
    <n v="5"/>
    <n v="0.1308869366379137"/>
    <n v="360"/>
    <n v="312.88070281035107"/>
    <x v="3"/>
  </r>
  <r>
    <s v="PBOR00022"/>
    <s v="PIZB0002"/>
    <x v="10"/>
    <x v="1"/>
    <x v="1"/>
    <n v="65"/>
    <x v="2"/>
    <n v="4"/>
    <n v="6.6961969492996459E-2"/>
    <n v="260"/>
    <n v="242.58988793182093"/>
    <x v="6"/>
  </r>
  <r>
    <s v="PBOR00023"/>
    <s v="PIZB0003"/>
    <x v="2"/>
    <x v="2"/>
    <x v="0"/>
    <n v="250"/>
    <x v="0"/>
    <n v="3"/>
    <n v="0.36350761794645753"/>
    <n v="750"/>
    <n v="477.36928654015679"/>
    <x v="2"/>
  </r>
  <r>
    <s v="PBOR00024"/>
    <s v="PIZB0004"/>
    <x v="11"/>
    <x v="3"/>
    <x v="0"/>
    <n v="130"/>
    <x v="1"/>
    <n v="6"/>
    <n v="0.30841415491993102"/>
    <n v="780"/>
    <n v="539.43695916245372"/>
    <x v="5"/>
  </r>
  <r>
    <s v="PBOR00025"/>
    <s v="PIZB0001"/>
    <x v="9"/>
    <x v="0"/>
    <x v="0"/>
    <n v="72"/>
    <x v="2"/>
    <n v="8"/>
    <n v="0.21287301321989574"/>
    <n v="576"/>
    <n v="453.38514438534008"/>
    <x v="3"/>
  </r>
  <r>
    <s v="PBOR00026"/>
    <s v="PIZB0002"/>
    <x v="12"/>
    <x v="1"/>
    <x v="0"/>
    <n v="65"/>
    <x v="0"/>
    <n v="5"/>
    <n v="0.11047742601795077"/>
    <n v="325"/>
    <n v="289.09483654416601"/>
    <x v="4"/>
  </r>
  <r>
    <s v="PBOR00027"/>
    <s v="PIZB0003"/>
    <x v="4"/>
    <x v="2"/>
    <x v="0"/>
    <n v="250"/>
    <x v="1"/>
    <n v="2"/>
    <n v="4.8799156151631218E-2"/>
    <n v="500"/>
    <n v="475.60042192418439"/>
    <x v="4"/>
  </r>
  <r>
    <s v="PBOR00035"/>
    <s v="PIZB0004"/>
    <x v="10"/>
    <x v="3"/>
    <x v="0"/>
    <n v="130"/>
    <x v="2"/>
    <n v="3"/>
    <n v="0.27879506176921365"/>
    <n v="390"/>
    <n v="281.26992591000669"/>
    <x v="6"/>
  </r>
  <r>
    <s v="PBOR00029"/>
    <s v="PIZB0005"/>
    <x v="10"/>
    <x v="4"/>
    <x v="0"/>
    <n v="60"/>
    <x v="0"/>
    <n v="14"/>
    <n v="7.6045534046593019E-2"/>
    <n v="840"/>
    <n v="776.12175140086185"/>
    <x v="6"/>
  </r>
  <r>
    <s v="PBOR00030"/>
    <s v="PIZB0001"/>
    <x v="2"/>
    <x v="0"/>
    <x v="0"/>
    <n v="72"/>
    <x v="1"/>
    <n v="12"/>
    <n v="0.12055762754740325"/>
    <n v="864"/>
    <n v="759.83820979904351"/>
    <x v="2"/>
  </r>
  <r>
    <s v="PBOR00031"/>
    <s v="PIZB0002"/>
    <x v="5"/>
    <x v="1"/>
    <x v="0"/>
    <n v="65"/>
    <x v="2"/>
    <n v="5"/>
    <n v="0.30283946337780637"/>
    <n v="325"/>
    <n v="226.5771744022129"/>
    <x v="2"/>
  </r>
  <r>
    <s v="PBOR00032"/>
    <s v="PIZB0003"/>
    <x v="11"/>
    <x v="2"/>
    <x v="1"/>
    <n v="250"/>
    <x v="0"/>
    <n v="1"/>
    <n v="0.41401829873258272"/>
    <n v="250"/>
    <n v="146.49542531685432"/>
    <x v="5"/>
  </r>
  <r>
    <s v="PBOR00033"/>
    <s v="PIZB0004"/>
    <x v="13"/>
    <x v="3"/>
    <x v="0"/>
    <n v="130"/>
    <x v="1"/>
    <n v="4"/>
    <n v="6.1603660271292333E-3"/>
    <n v="520"/>
    <n v="516.79660966589279"/>
    <x v="1"/>
  </r>
  <r>
    <s v="PBOR00036"/>
    <s v="PIZB0001"/>
    <x v="14"/>
    <x v="0"/>
    <x v="0"/>
    <n v="72"/>
    <x v="2"/>
    <n v="8"/>
    <n v="0.10495963672233184"/>
    <n v="576"/>
    <n v="515.54324924793684"/>
    <x v="1"/>
  </r>
  <r>
    <s v="PBOR00037"/>
    <s v="PIZB0002"/>
    <x v="9"/>
    <x v="1"/>
    <x v="0"/>
    <n v="65"/>
    <x v="0"/>
    <n v="12"/>
    <n v="0.29377273906475571"/>
    <n v="780"/>
    <n v="550.85726352949052"/>
    <x v="3"/>
  </r>
  <r>
    <s v="PBOR00038"/>
    <s v="PIZB0003"/>
    <x v="7"/>
    <x v="2"/>
    <x v="0"/>
    <n v="250"/>
    <x v="1"/>
    <n v="3"/>
    <n v="0.56559810101924179"/>
    <n v="750"/>
    <n v="325.80142423556867"/>
    <x v="5"/>
  </r>
  <r>
    <s v="PBOR00040"/>
    <s v="PIZB0004"/>
    <x v="15"/>
    <x v="3"/>
    <x v="0"/>
    <n v="130"/>
    <x v="2"/>
    <n v="3"/>
    <n v="0.14180367825735268"/>
    <n v="390"/>
    <n v="334.69656547963245"/>
    <x v="0"/>
  </r>
  <r>
    <s v="PBOR00041"/>
    <s v="PIZB0005"/>
    <x v="15"/>
    <x v="4"/>
    <x v="1"/>
    <n v="60"/>
    <x v="0"/>
    <n v="11"/>
    <n v="0.19727585407121537"/>
    <n v="660"/>
    <n v="529.79793631299788"/>
    <x v="0"/>
  </r>
  <r>
    <s v="PBOR00042"/>
    <s v="PIZB0006"/>
    <x v="8"/>
    <x v="5"/>
    <x v="0"/>
    <n v="95"/>
    <x v="1"/>
    <n v="8"/>
    <n v="0.16026707373910823"/>
    <n v="760"/>
    <n v="638.19702395827778"/>
    <x v="6"/>
  </r>
  <r>
    <s v="PBOR00043"/>
    <s v="PIZB0001"/>
    <x v="4"/>
    <x v="0"/>
    <x v="0"/>
    <n v="72"/>
    <x v="2"/>
    <n v="5"/>
    <n v="3.6754234817017679E-2"/>
    <n v="360"/>
    <n v="346.76847546587362"/>
    <x v="4"/>
  </r>
  <r>
    <s v="PBOR00044"/>
    <s v="PIZB0002"/>
    <x v="12"/>
    <x v="1"/>
    <x v="0"/>
    <n v="65"/>
    <x v="0"/>
    <n v="6"/>
    <n v="0.12047427034169578"/>
    <n v="390"/>
    <n v="343.01503456673862"/>
    <x v="4"/>
  </r>
  <r>
    <s v="PBOR00045"/>
    <s v="PIZB0003"/>
    <x v="5"/>
    <x v="2"/>
    <x v="1"/>
    <n v="250"/>
    <x v="1"/>
    <n v="1"/>
    <n v="0.38636401364592987"/>
    <n v="250"/>
    <n v="153.40899658851754"/>
    <x v="2"/>
  </r>
  <r>
    <s v="PBOR00046"/>
    <s v="PIZB0004"/>
    <x v="8"/>
    <x v="3"/>
    <x v="1"/>
    <n v="130"/>
    <x v="2"/>
    <n v="7"/>
    <n v="0.25111930985495906"/>
    <n v="910"/>
    <n v="681.48142803198721"/>
    <x v="6"/>
  </r>
  <r>
    <s v="PBOR00047"/>
    <s v="PIZB0001"/>
    <x v="15"/>
    <x v="0"/>
    <x v="1"/>
    <n v="72"/>
    <x v="0"/>
    <n v="7"/>
    <n v="0.18099169049889144"/>
    <n v="504"/>
    <n v="412.78018798855874"/>
    <x v="0"/>
  </r>
  <r>
    <s v="PBOR00048"/>
    <s v="PIZB0002"/>
    <x v="10"/>
    <x v="1"/>
    <x v="1"/>
    <n v="65"/>
    <x v="1"/>
    <n v="3"/>
    <n v="0.17363786365000505"/>
    <n v="195"/>
    <n v="161.140616588249"/>
    <x v="6"/>
  </r>
  <r>
    <s v="PBOR00049"/>
    <s v="PIZB0003"/>
    <x v="9"/>
    <x v="2"/>
    <x v="1"/>
    <n v="250"/>
    <x v="2"/>
    <n v="1"/>
    <n v="0.75489814137474298"/>
    <n v="250"/>
    <n v="61.275464656314256"/>
    <x v="3"/>
  </r>
  <r>
    <s v="PBOR00050"/>
    <s v="PIZB0004"/>
    <x v="7"/>
    <x v="3"/>
    <x v="1"/>
    <n v="130"/>
    <x v="0"/>
    <n v="6"/>
    <n v="0.41826226246410803"/>
    <n v="780"/>
    <n v="453.75543527799573"/>
    <x v="5"/>
  </r>
  <r>
    <s v="PBOR00051"/>
    <s v="PIZB0001"/>
    <x v="14"/>
    <x v="0"/>
    <x v="0"/>
    <n v="72"/>
    <x v="0"/>
    <n v="4"/>
    <n v="1.372080123313592E-2"/>
    <n v="288"/>
    <n v="284.04840924485688"/>
    <x v="1"/>
  </r>
  <r>
    <s v="PBOR00052"/>
    <s v="PIZB0002"/>
    <x v="16"/>
    <x v="1"/>
    <x v="1"/>
    <n v="65"/>
    <x v="1"/>
    <n v="6"/>
    <n v="2.2083854314921911E-2"/>
    <n v="390"/>
    <n v="381.38729681718047"/>
    <x v="0"/>
  </r>
  <r>
    <s v="PBOR00053"/>
    <s v="PIZB0003"/>
    <x v="17"/>
    <x v="2"/>
    <x v="0"/>
    <n v="250"/>
    <x v="2"/>
    <n v="3"/>
    <n v="0.92842323956324613"/>
    <n v="750"/>
    <n v="53.682570327565401"/>
    <x v="2"/>
  </r>
  <r>
    <s v="PBOR00054"/>
    <s v="PIZB0004"/>
    <x v="17"/>
    <x v="3"/>
    <x v="1"/>
    <n v="130"/>
    <x v="0"/>
    <n v="2"/>
    <n v="0.20990358910221096"/>
    <n v="260"/>
    <n v="205.42506683342515"/>
    <x v="2"/>
  </r>
  <r>
    <s v="PBOR00055"/>
    <s v="PIZB0001"/>
    <x v="5"/>
    <x v="0"/>
    <x v="0"/>
    <n v="72"/>
    <x v="1"/>
    <n v="5"/>
    <n v="0.184343159134289"/>
    <n v="360"/>
    <n v="293.63646271165595"/>
    <x v="2"/>
  </r>
  <r>
    <s v="PBOR00056"/>
    <s v="PIZB0002"/>
    <x v="16"/>
    <x v="1"/>
    <x v="1"/>
    <n v="65"/>
    <x v="2"/>
    <n v="8"/>
    <n v="0.11144429073382323"/>
    <n v="520"/>
    <n v="462.04896881841194"/>
    <x v="0"/>
  </r>
  <r>
    <s v="PBOR00057"/>
    <s v="PIZB0003"/>
    <x v="1"/>
    <x v="2"/>
    <x v="0"/>
    <n v="250"/>
    <x v="0"/>
    <n v="3"/>
    <n v="0.56286929186816415"/>
    <n v="750"/>
    <n v="327.8480310988769"/>
    <x v="1"/>
  </r>
  <r>
    <s v="PBOR00058"/>
    <s v="PIZB0004"/>
    <x v="18"/>
    <x v="3"/>
    <x v="1"/>
    <n v="130"/>
    <x v="1"/>
    <n v="3"/>
    <n v="3.138956050307417E-2"/>
    <n v="390"/>
    <n v="377.75807140380107"/>
    <x v="5"/>
  </r>
  <r>
    <s v="PBOR00059"/>
    <s v="PIZB0005"/>
    <x v="3"/>
    <x v="4"/>
    <x v="0"/>
    <n v="60"/>
    <x v="2"/>
    <n v="13"/>
    <n v="0.23798278495106248"/>
    <n v="780"/>
    <n v="594.37342773817124"/>
    <x v="3"/>
  </r>
  <r>
    <s v="PBOR00060"/>
    <s v="PIZB0001"/>
    <x v="19"/>
    <x v="0"/>
    <x v="1"/>
    <n v="72"/>
    <x v="0"/>
    <n v="5"/>
    <n v="0.19712344024473996"/>
    <n v="360"/>
    <n v="289.0355615118936"/>
    <x v="5"/>
  </r>
  <r>
    <s v="PBOR00061"/>
    <s v="PIZB0002"/>
    <x v="20"/>
    <x v="1"/>
    <x v="0"/>
    <n v="65"/>
    <x v="1"/>
    <n v="7"/>
    <n v="6.8295799738434873E-2"/>
    <n v="455"/>
    <n v="423.9254111190121"/>
    <x v="6"/>
  </r>
  <r>
    <s v="PBOR00062"/>
    <s v="PIZB0003"/>
    <x v="21"/>
    <x v="2"/>
    <x v="1"/>
    <n v="250"/>
    <x v="2"/>
    <n v="3"/>
    <n v="1.6828522965904168E-2"/>
    <n v="750"/>
    <n v="737.37860777557182"/>
    <x v="0"/>
  </r>
  <r>
    <s v="PBOR00063"/>
    <s v="PIZB0004"/>
    <x v="22"/>
    <x v="3"/>
    <x v="0"/>
    <n v="130"/>
    <x v="0"/>
    <n v="6"/>
    <n v="0.26661284065553453"/>
    <n v="780"/>
    <n v="572.04198428868301"/>
    <x v="5"/>
  </r>
  <r>
    <s v="PBOR00064"/>
    <s v="PIZB0001"/>
    <x v="23"/>
    <x v="0"/>
    <x v="1"/>
    <n v="72"/>
    <x v="1"/>
    <n v="11"/>
    <n v="0.21251347110701568"/>
    <n v="792"/>
    <n v="623.68933088324354"/>
    <x v="4"/>
  </r>
  <r>
    <s v="PBOR00065"/>
    <s v="PIZB0002"/>
    <x v="24"/>
    <x v="1"/>
    <x v="0"/>
    <n v="65"/>
    <x v="2"/>
    <n v="12"/>
    <n v="0.10994257661413849"/>
    <n v="780"/>
    <n v="694.24479024097195"/>
    <x v="1"/>
  </r>
  <r>
    <s v="PBOR00066"/>
    <s v="PIZB0003"/>
    <x v="16"/>
    <x v="2"/>
    <x v="1"/>
    <n v="250"/>
    <x v="0"/>
    <n v="2"/>
    <n v="0.53607498908607099"/>
    <n v="500"/>
    <n v="231.96250545696449"/>
    <x v="0"/>
  </r>
  <r>
    <s v="PBOR00067"/>
    <s v="PIZB0004"/>
    <x v="25"/>
    <x v="3"/>
    <x v="0"/>
    <n v="130"/>
    <x v="1"/>
    <n v="6"/>
    <n v="3.7515550327758003E-2"/>
    <n v="780"/>
    <n v="750.73787074434881"/>
    <x v="6"/>
  </r>
  <r>
    <s v="PBOR00068"/>
    <s v="PIZB0005"/>
    <x v="6"/>
    <x v="4"/>
    <x v="0"/>
    <n v="60"/>
    <x v="2"/>
    <n v="15"/>
    <n v="2.4938289886663061E-2"/>
    <n v="900"/>
    <n v="877.55553910200331"/>
    <x v="0"/>
  </r>
  <r>
    <s v="PBOR00069"/>
    <s v="PIZB0006"/>
    <x v="2"/>
    <x v="5"/>
    <x v="1"/>
    <n v="95"/>
    <x v="0"/>
    <n v="9"/>
    <n v="1.0123391970414241E-2"/>
    <n v="855"/>
    <n v="846.3444998652958"/>
    <x v="2"/>
  </r>
  <r>
    <s v="PBOR00070"/>
    <s v="PIZB0001"/>
    <x v="26"/>
    <x v="0"/>
    <x v="1"/>
    <n v="72"/>
    <x v="1"/>
    <n v="12"/>
    <n v="0.1308869366379137"/>
    <n v="864"/>
    <n v="750.91368674484249"/>
    <x v="1"/>
  </r>
  <r>
    <s v="PBOR00071"/>
    <s v="PIZB0002"/>
    <x v="4"/>
    <x v="1"/>
    <x v="1"/>
    <n v="65"/>
    <x v="2"/>
    <n v="7"/>
    <n v="6.6961969492996459E-2"/>
    <n v="455"/>
    <n v="424.53230388068658"/>
    <x v="4"/>
  </r>
  <r>
    <s v="PBOR00072"/>
    <s v="PIZB0003"/>
    <x v="27"/>
    <x v="2"/>
    <x v="0"/>
    <n v="250"/>
    <x v="0"/>
    <n v="3"/>
    <n v="0.36350761794645753"/>
    <n v="750"/>
    <n v="477.36928654015679"/>
    <x v="0"/>
  </r>
  <r>
    <s v="PBOR00073"/>
    <s v="PIZB0004"/>
    <x v="15"/>
    <x v="3"/>
    <x v="0"/>
    <n v="130"/>
    <x v="1"/>
    <n v="6"/>
    <n v="0.30841415491993102"/>
    <n v="780"/>
    <n v="539.43695916245372"/>
    <x v="0"/>
  </r>
  <r>
    <s v="PBOR00074"/>
    <s v="PIZB0001"/>
    <x v="28"/>
    <x v="0"/>
    <x v="0"/>
    <n v="72"/>
    <x v="2"/>
    <n v="9"/>
    <n v="0.21287301321989574"/>
    <n v="648"/>
    <n v="510.05828743350759"/>
    <x v="2"/>
  </r>
  <r>
    <s v="PBOR00075"/>
    <s v="PIZB0002"/>
    <x v="8"/>
    <x v="1"/>
    <x v="0"/>
    <n v="65"/>
    <x v="0"/>
    <n v="4"/>
    <n v="0.11047742601795077"/>
    <n v="260"/>
    <n v="231.27586923533281"/>
    <x v="6"/>
  </r>
  <r>
    <s v="PBOR00076"/>
    <s v="PIZB0003"/>
    <x v="6"/>
    <x v="2"/>
    <x v="0"/>
    <n v="250"/>
    <x v="1"/>
    <n v="2"/>
    <n v="4.8799156151631218E-2"/>
    <n v="500"/>
    <n v="475.60042192418439"/>
    <x v="0"/>
  </r>
  <r>
    <s v="PBOR00077"/>
    <s v="PIZB0004"/>
    <x v="27"/>
    <x v="3"/>
    <x v="0"/>
    <n v="130"/>
    <x v="2"/>
    <n v="6"/>
    <n v="0.27879506176921365"/>
    <n v="780"/>
    <n v="562.53985182001338"/>
    <x v="0"/>
  </r>
  <r>
    <s v="PBOR00078"/>
    <s v="PIZB0005"/>
    <x v="10"/>
    <x v="4"/>
    <x v="0"/>
    <n v="60"/>
    <x v="0"/>
    <n v="9"/>
    <n v="7.6045534046593019E-2"/>
    <n v="540"/>
    <n v="498.93541161483978"/>
    <x v="6"/>
  </r>
  <r>
    <s v="PBOR00079"/>
    <s v="PIZB0001"/>
    <x v="29"/>
    <x v="0"/>
    <x v="0"/>
    <n v="72"/>
    <x v="1"/>
    <n v="11"/>
    <n v="0.12055762754740325"/>
    <n v="792"/>
    <n v="696.51835898245656"/>
    <x v="2"/>
  </r>
  <r>
    <s v="PBOR00080"/>
    <s v="PIZB0002"/>
    <x v="30"/>
    <x v="1"/>
    <x v="0"/>
    <n v="65"/>
    <x v="2"/>
    <n v="13"/>
    <n v="0.30283946337780637"/>
    <n v="845"/>
    <n v="589.10065344575355"/>
    <x v="4"/>
  </r>
  <r>
    <s v="PBOR00081"/>
    <s v="PIZB0003"/>
    <x v="31"/>
    <x v="2"/>
    <x v="1"/>
    <n v="250"/>
    <x v="0"/>
    <n v="2"/>
    <n v="0.41401829873258272"/>
    <n v="500"/>
    <n v="292.99085063370865"/>
    <x v="3"/>
  </r>
  <r>
    <s v="PBOR00082"/>
    <s v="PIZB0004"/>
    <x v="27"/>
    <x v="3"/>
    <x v="0"/>
    <n v="130"/>
    <x v="1"/>
    <n v="6"/>
    <n v="6.1603660271292333E-3"/>
    <n v="780"/>
    <n v="775.19491449883924"/>
    <x v="0"/>
  </r>
  <r>
    <s v="PBOR00083"/>
    <s v="PIZB0001"/>
    <x v="29"/>
    <x v="0"/>
    <x v="0"/>
    <n v="72"/>
    <x v="2"/>
    <n v="12"/>
    <n v="0.10495963672233184"/>
    <n v="864"/>
    <n v="773.31487387190521"/>
    <x v="2"/>
  </r>
  <r>
    <s v="PBOR00084"/>
    <s v="PIZB0002"/>
    <x v="1"/>
    <x v="1"/>
    <x v="0"/>
    <n v="65"/>
    <x v="0"/>
    <n v="11"/>
    <n v="0.29377273906475571"/>
    <n v="715"/>
    <n v="504.95249156869966"/>
    <x v="1"/>
  </r>
  <r>
    <s v="PBOR00085"/>
    <s v="PIZB0003"/>
    <x v="11"/>
    <x v="2"/>
    <x v="0"/>
    <n v="250"/>
    <x v="1"/>
    <n v="3"/>
    <n v="0.56559810101924179"/>
    <n v="750"/>
    <n v="325.80142423556867"/>
    <x v="5"/>
  </r>
  <r>
    <s v="PBOR00086"/>
    <s v="PIZB0004"/>
    <x v="5"/>
    <x v="3"/>
    <x v="0"/>
    <n v="130"/>
    <x v="2"/>
    <n v="4"/>
    <n v="0.14180367825735268"/>
    <n v="520"/>
    <n v="446.26208730617662"/>
    <x v="2"/>
  </r>
  <r>
    <s v="PBOR00087"/>
    <s v="PIZB0005"/>
    <x v="2"/>
    <x v="4"/>
    <x v="1"/>
    <n v="60"/>
    <x v="0"/>
    <n v="14"/>
    <n v="0.19727585407121537"/>
    <n v="840"/>
    <n v="674.28828258017904"/>
    <x v="2"/>
  </r>
  <r>
    <s v="PBOR00088"/>
    <s v="PIZB0006"/>
    <x v="31"/>
    <x v="5"/>
    <x v="0"/>
    <n v="95"/>
    <x v="1"/>
    <n v="2"/>
    <n v="0.16026707373910823"/>
    <n v="190"/>
    <n v="159.54925598956945"/>
    <x v="3"/>
  </r>
  <r>
    <s v="PBOR00089"/>
    <s v="PIZB0001"/>
    <x v="3"/>
    <x v="0"/>
    <x v="0"/>
    <n v="72"/>
    <x v="2"/>
    <n v="4"/>
    <n v="3.6754234817017679E-2"/>
    <n v="288"/>
    <n v="277.41478037269889"/>
    <x v="3"/>
  </r>
  <r>
    <s v="PBOR00090"/>
    <s v="PIZB0002"/>
    <x v="25"/>
    <x v="1"/>
    <x v="0"/>
    <n v="65"/>
    <x v="0"/>
    <n v="6"/>
    <n v="0.12047427034169578"/>
    <n v="390"/>
    <n v="343.01503456673862"/>
    <x v="6"/>
  </r>
  <r>
    <s v="PBOR00091"/>
    <s v="PIZB0003"/>
    <x v="7"/>
    <x v="2"/>
    <x v="1"/>
    <n v="250"/>
    <x v="1"/>
    <n v="2"/>
    <n v="0.38636401364592987"/>
    <n v="500"/>
    <n v="306.81799317703508"/>
    <x v="5"/>
  </r>
  <r>
    <s v="PBOR00092"/>
    <s v="PIZB0004"/>
    <x v="25"/>
    <x v="3"/>
    <x v="1"/>
    <n v="130"/>
    <x v="2"/>
    <n v="5"/>
    <n v="0.25111930985495906"/>
    <n v="650"/>
    <n v="486.77244859427657"/>
    <x v="6"/>
  </r>
  <r>
    <s v="PBOR00093"/>
    <s v="PIZB0001"/>
    <x v="32"/>
    <x v="0"/>
    <x v="1"/>
    <n v="72"/>
    <x v="0"/>
    <n v="6"/>
    <n v="0.18099169049889144"/>
    <n v="432"/>
    <n v="353.81158970447893"/>
    <x v="6"/>
  </r>
  <r>
    <s v="PBOR00094"/>
    <s v="PIZB0002"/>
    <x v="33"/>
    <x v="1"/>
    <x v="1"/>
    <n v="65"/>
    <x v="1"/>
    <n v="6"/>
    <n v="0.17363786365000505"/>
    <n v="390"/>
    <n v="322.28123317649801"/>
    <x v="4"/>
  </r>
  <r>
    <s v="PBOR00095"/>
    <s v="PIZB0003"/>
    <x v="33"/>
    <x v="2"/>
    <x v="1"/>
    <n v="250"/>
    <x v="2"/>
    <n v="3"/>
    <n v="0.75489814137474298"/>
    <n v="750"/>
    <n v="183.82639396894277"/>
    <x v="4"/>
  </r>
  <r>
    <s v="PBOR00096"/>
    <s v="PIZB0004"/>
    <x v="22"/>
    <x v="3"/>
    <x v="1"/>
    <n v="130"/>
    <x v="0"/>
    <n v="4"/>
    <n v="0.41826226246410803"/>
    <n v="520"/>
    <n v="302.5036235186638"/>
    <x v="5"/>
  </r>
  <r>
    <s v="PBOR00097"/>
    <s v="PIZB0001"/>
    <x v="34"/>
    <x v="0"/>
    <x v="0"/>
    <n v="72"/>
    <x v="0"/>
    <n v="11"/>
    <n v="0.52183512590850833"/>
    <n v="792"/>
    <n v="378.70658028046142"/>
    <x v="3"/>
  </r>
  <r>
    <s v="PBOR00098"/>
    <s v="PIZB0002"/>
    <x v="7"/>
    <x v="1"/>
    <x v="1"/>
    <n v="65"/>
    <x v="1"/>
    <n v="12"/>
    <n v="0.4407264983607897"/>
    <n v="780"/>
    <n v="436.23333127858405"/>
    <x v="5"/>
  </r>
  <r>
    <s v="PBOR00099"/>
    <s v="PIZB0003"/>
    <x v="3"/>
    <x v="2"/>
    <x v="0"/>
    <n v="250"/>
    <x v="2"/>
    <n v="3"/>
    <n v="0.30123769132028422"/>
    <n v="750"/>
    <n v="524.07173150978679"/>
    <x v="3"/>
  </r>
  <r>
    <s v="PBOR00100"/>
    <s v="PIZB0004"/>
    <x v="31"/>
    <x v="3"/>
    <x v="1"/>
    <n v="130"/>
    <x v="0"/>
    <n v="4"/>
    <n v="0.42020557863905661"/>
    <n v="520"/>
    <n v="301.49309910769057"/>
    <x v="3"/>
  </r>
  <r>
    <s v="PBOR00101"/>
    <s v="PIZB0001"/>
    <x v="4"/>
    <x v="0"/>
    <x v="0"/>
    <n v="72"/>
    <x v="1"/>
    <n v="10"/>
    <n v="0.38179966249899233"/>
    <n v="720"/>
    <n v="445.10424300072555"/>
    <x v="4"/>
  </r>
  <r>
    <s v="PBOR00102"/>
    <s v="PIZB0002"/>
    <x v="34"/>
    <x v="1"/>
    <x v="1"/>
    <n v="65"/>
    <x v="2"/>
    <n v="5"/>
    <n v="4.8435914836800764E-3"/>
    <n v="325"/>
    <n v="323.42583276780397"/>
    <x v="3"/>
  </r>
  <r>
    <s v="PBOR00103"/>
    <s v="PIZB0003"/>
    <x v="13"/>
    <x v="2"/>
    <x v="0"/>
    <n v="250"/>
    <x v="0"/>
    <n v="2"/>
    <n v="0.63857584714373206"/>
    <n v="500"/>
    <n v="180.71207642813397"/>
    <x v="1"/>
  </r>
  <r>
    <s v="PBOR00104"/>
    <s v="PIZB0004"/>
    <x v="35"/>
    <x v="3"/>
    <x v="1"/>
    <n v="130"/>
    <x v="1"/>
    <n v="7"/>
    <n v="0.92544771931561698"/>
    <n v="910"/>
    <n v="67.842575422788542"/>
    <x v="4"/>
  </r>
  <r>
    <s v="PBOR00105"/>
    <s v="PIZB0005"/>
    <x v="2"/>
    <x v="4"/>
    <x v="0"/>
    <n v="60"/>
    <x v="2"/>
    <n v="10"/>
    <n v="4.9069353138029403E-2"/>
    <n v="600"/>
    <n v="570.5583881171824"/>
    <x v="2"/>
  </r>
  <r>
    <s v="PBOR00106"/>
    <s v="PIZB0001"/>
    <x v="13"/>
    <x v="0"/>
    <x v="1"/>
    <n v="72"/>
    <x v="0"/>
    <n v="11"/>
    <n v="0.7875779554918797"/>
    <n v="792"/>
    <n v="168.23825925043127"/>
    <x v="1"/>
  </r>
  <r>
    <s v="PBOR00107"/>
    <s v="PIZB0002"/>
    <x v="18"/>
    <x v="1"/>
    <x v="0"/>
    <n v="65"/>
    <x v="1"/>
    <n v="13"/>
    <n v="0.4468603878067412"/>
    <n v="845"/>
    <n v="467.40297230330367"/>
    <x v="5"/>
  </r>
  <r>
    <s v="PBOR00108"/>
    <s v="PIZB0003"/>
    <x v="23"/>
    <x v="2"/>
    <x v="1"/>
    <n v="250"/>
    <x v="2"/>
    <n v="2"/>
    <n v="0.89674363393446022"/>
    <n v="500"/>
    <n v="51.62818303276989"/>
    <x v="4"/>
  </r>
  <r>
    <s v="PBOR00109"/>
    <s v="PIZB0004"/>
    <x v="36"/>
    <x v="3"/>
    <x v="0"/>
    <n v="130"/>
    <x v="0"/>
    <n v="6"/>
    <n v="3.2373342558606799E-2"/>
    <n v="780"/>
    <n v="754.74879280428672"/>
    <x v="1"/>
  </r>
  <r>
    <s v="PBOR00110"/>
    <s v="PIZB0001"/>
    <x v="37"/>
    <x v="0"/>
    <x v="1"/>
    <n v="72"/>
    <x v="1"/>
    <n v="11"/>
    <n v="0.94247200152138155"/>
    <n v="792"/>
    <n v="45.562174795065808"/>
    <x v="5"/>
  </r>
  <r>
    <s v="PBOR00111"/>
    <s v="PIZB0002"/>
    <x v="4"/>
    <x v="1"/>
    <x v="0"/>
    <n v="65"/>
    <x v="2"/>
    <n v="7"/>
    <n v="0.24863680679080546"/>
    <n v="455"/>
    <n v="341.87025291018352"/>
    <x v="4"/>
  </r>
  <r>
    <s v="PBOR00112"/>
    <s v="PIZB0003"/>
    <x v="3"/>
    <x v="2"/>
    <x v="1"/>
    <n v="250"/>
    <x v="0"/>
    <n v="1"/>
    <n v="4.9896521056402299E-2"/>
    <n v="250"/>
    <n v="237.52586973589942"/>
    <x v="3"/>
  </r>
  <r>
    <s v="PBOR00113"/>
    <s v="PIZB0004"/>
    <x v="35"/>
    <x v="3"/>
    <x v="0"/>
    <n v="130"/>
    <x v="1"/>
    <n v="7"/>
    <n v="0.49618340188276622"/>
    <n v="910"/>
    <n v="458.47310428668277"/>
    <x v="4"/>
  </r>
  <r>
    <s v="PBOR00114"/>
    <s v="PIZB0005"/>
    <x v="11"/>
    <x v="4"/>
    <x v="0"/>
    <n v="60"/>
    <x v="2"/>
    <n v="13"/>
    <n v="0.62889621592411693"/>
    <n v="780"/>
    <n v="289.46095157918882"/>
    <x v="5"/>
  </r>
  <r>
    <s v="PBOR00115"/>
    <s v="PIZB0006"/>
    <x v="10"/>
    <x v="5"/>
    <x v="1"/>
    <n v="95"/>
    <x v="0"/>
    <n v="8"/>
    <n v="0.87580490637929664"/>
    <n v="760"/>
    <n v="94.388271151734557"/>
    <x v="6"/>
  </r>
  <r>
    <s v="PBOR00116"/>
    <s v="PIZB0001"/>
    <x v="1"/>
    <x v="0"/>
    <x v="1"/>
    <n v="72"/>
    <x v="1"/>
    <n v="11"/>
    <n v="0.37069854126093349"/>
    <n v="792"/>
    <n v="498.40675532134065"/>
    <x v="1"/>
  </r>
  <r>
    <s v="PBOR00117"/>
    <s v="PIZB0002"/>
    <x v="17"/>
    <x v="1"/>
    <x v="1"/>
    <n v="65"/>
    <x v="2"/>
    <n v="10"/>
    <n v="0.64422602074286228"/>
    <n v="650"/>
    <n v="231.25308651713951"/>
    <x v="2"/>
  </r>
  <r>
    <s v="PBOR00118"/>
    <s v="PIZB0003"/>
    <x v="17"/>
    <x v="2"/>
    <x v="0"/>
    <n v="250"/>
    <x v="0"/>
    <n v="2"/>
    <n v="0.76652707543193765"/>
    <n v="500"/>
    <n v="116.73646228403118"/>
    <x v="2"/>
  </r>
  <r>
    <s v="PBOR00119"/>
    <s v="PIZB0004"/>
    <x v="37"/>
    <x v="3"/>
    <x v="0"/>
    <n v="130"/>
    <x v="1"/>
    <n v="2"/>
    <n v="0.74416329829954486"/>
    <n v="260"/>
    <n v="66.517542442118341"/>
    <x v="5"/>
  </r>
  <r>
    <s v="PBOR00120"/>
    <s v="PIZB0001"/>
    <x v="4"/>
    <x v="0"/>
    <x v="0"/>
    <n v="72"/>
    <x v="2"/>
    <n v="8"/>
    <n v="0.48484032292333201"/>
    <n v="576"/>
    <n v="296.73197399616078"/>
    <x v="4"/>
  </r>
  <r>
    <s v="PBOR00121"/>
    <s v="PIZB0002"/>
    <x v="2"/>
    <x v="1"/>
    <x v="0"/>
    <n v="65"/>
    <x v="0"/>
    <n v="8"/>
    <n v="0.10556900790048951"/>
    <n v="520"/>
    <n v="465.10411589174544"/>
    <x v="2"/>
  </r>
  <r>
    <s v="PBOR00122"/>
    <s v="PIZB0003"/>
    <x v="12"/>
    <x v="2"/>
    <x v="0"/>
    <n v="250"/>
    <x v="1"/>
    <n v="1"/>
    <n v="0.35681327352398817"/>
    <n v="250"/>
    <n v="160.79668161900295"/>
    <x v="4"/>
  </r>
  <r>
    <s v="PBOR00123"/>
    <s v="PIZB0004"/>
    <x v="0"/>
    <x v="3"/>
    <x v="0"/>
    <n v="130"/>
    <x v="2"/>
    <n v="2"/>
    <n v="0.38966155247167111"/>
    <n v="260"/>
    <n v="158.68799635736551"/>
    <x v="0"/>
  </r>
  <r>
    <s v="PBOR00124"/>
    <s v="PIZB0005"/>
    <x v="38"/>
    <x v="4"/>
    <x v="0"/>
    <n v="60"/>
    <x v="0"/>
    <n v="6"/>
    <n v="0.27342799854809485"/>
    <n v="360"/>
    <n v="261.56592052268587"/>
    <x v="3"/>
  </r>
  <r>
    <s v="PBOR00125"/>
    <s v="PIZB0001"/>
    <x v="1"/>
    <x v="0"/>
    <x v="0"/>
    <n v="72"/>
    <x v="1"/>
    <n v="11"/>
    <n v="0.68404340685026022"/>
    <n v="792"/>
    <n v="250.23762177459392"/>
    <x v="1"/>
  </r>
  <r>
    <s v="PBOR00126"/>
    <s v="PIZB0002"/>
    <x v="2"/>
    <x v="1"/>
    <x v="0"/>
    <n v="65"/>
    <x v="2"/>
    <n v="4"/>
    <n v="0.30511671475159663"/>
    <n v="260"/>
    <n v="180.66965416458487"/>
    <x v="2"/>
  </r>
  <r>
    <s v="PBOR00127"/>
    <s v="PIZB0003"/>
    <x v="5"/>
    <x v="2"/>
    <x v="1"/>
    <n v="250"/>
    <x v="0"/>
    <n v="3"/>
    <n v="0.26634683182511409"/>
    <n v="750"/>
    <n v="550.23987613116446"/>
    <x v="2"/>
  </r>
  <r>
    <s v="PBOR00128"/>
    <s v="PIZB0004"/>
    <x v="3"/>
    <x v="3"/>
    <x v="0"/>
    <n v="130"/>
    <x v="1"/>
    <n v="2"/>
    <n v="0.95598379426073032"/>
    <n v="260"/>
    <n v="11.444213492210116"/>
    <x v="3"/>
  </r>
  <r>
    <s v="PBOR00129"/>
    <s v="PIZB0001"/>
    <x v="36"/>
    <x v="0"/>
    <x v="0"/>
    <n v="72"/>
    <x v="2"/>
    <n v="3"/>
    <n v="0.78465682989488972"/>
    <n v="216"/>
    <n v="46.514124742703821"/>
    <x v="1"/>
  </r>
  <r>
    <s v="PBOR00130"/>
    <s v="PIZB0002"/>
    <x v="24"/>
    <x v="1"/>
    <x v="0"/>
    <n v="65"/>
    <x v="0"/>
    <n v="4"/>
    <n v="0.92531650826605816"/>
    <n v="260"/>
    <n v="19.417707850824879"/>
    <x v="1"/>
  </r>
  <r>
    <s v="PBOR00131"/>
    <s v="PIZB0003"/>
    <x v="21"/>
    <x v="2"/>
    <x v="0"/>
    <n v="250"/>
    <x v="1"/>
    <n v="3"/>
    <n v="0.91314982692991542"/>
    <n v="750"/>
    <n v="65.137629802563438"/>
    <x v="0"/>
  </r>
  <r>
    <s v="PBOR00132"/>
    <s v="PIZB0004"/>
    <x v="32"/>
    <x v="3"/>
    <x v="0"/>
    <n v="130"/>
    <x v="2"/>
    <n v="2"/>
    <n v="8.4586093307030152E-2"/>
    <n v="260"/>
    <n v="238.00761574017216"/>
    <x v="6"/>
  </r>
  <r>
    <s v="PBOR00133"/>
    <s v="PIZB0005"/>
    <x v="4"/>
    <x v="4"/>
    <x v="1"/>
    <n v="60"/>
    <x v="0"/>
    <n v="7"/>
    <n v="0.92983220282837542"/>
    <n v="420"/>
    <n v="29.470474812082323"/>
    <x v="4"/>
  </r>
  <r>
    <s v="PBOR00134"/>
    <s v="PIZB0006"/>
    <x v="2"/>
    <x v="5"/>
    <x v="0"/>
    <n v="95"/>
    <x v="1"/>
    <n v="6"/>
    <n v="0.13029960752667558"/>
    <n v="570"/>
    <n v="495.72922370979489"/>
    <x v="2"/>
  </r>
  <r>
    <s v="PBOR00135"/>
    <s v="PIZB0001"/>
    <x v="27"/>
    <x v="0"/>
    <x v="0"/>
    <n v="72"/>
    <x v="2"/>
    <n v="6"/>
    <n v="0.41456728266200249"/>
    <n v="432"/>
    <n v="252.90693389001493"/>
    <x v="0"/>
  </r>
  <r>
    <s v="PBOR00136"/>
    <s v="PIZB0002"/>
    <x v="0"/>
    <x v="1"/>
    <x v="0"/>
    <n v="65"/>
    <x v="0"/>
    <n v="8"/>
    <n v="0.77953807822657883"/>
    <n v="520"/>
    <n v="114.640199322179"/>
    <x v="0"/>
  </r>
  <r>
    <s v="PBOR00137"/>
    <s v="PIZB0003"/>
    <x v="1"/>
    <x v="2"/>
    <x v="1"/>
    <n v="250"/>
    <x v="1"/>
    <n v="3"/>
    <n v="0.56602493379943331"/>
    <n v="750"/>
    <n v="325.481299650425"/>
    <x v="1"/>
  </r>
  <r>
    <s v="PBOR00138"/>
    <s v="PIZB0004"/>
    <x v="28"/>
    <x v="3"/>
    <x v="1"/>
    <n v="130"/>
    <x v="2"/>
    <n v="2"/>
    <n v="0.7922771947085826"/>
    <n v="260"/>
    <n v="54.007929375768526"/>
    <x v="2"/>
  </r>
  <r>
    <s v="PBOR00139"/>
    <s v="PIZB0001"/>
    <x v="8"/>
    <x v="0"/>
    <x v="1"/>
    <n v="72"/>
    <x v="0"/>
    <n v="9"/>
    <n v="9.6806596410280221E-2"/>
    <n v="648"/>
    <n v="585.26932552613846"/>
    <x v="6"/>
  </r>
  <r>
    <s v="PBOR00140"/>
    <s v="PIZB0002"/>
    <x v="33"/>
    <x v="1"/>
    <x v="1"/>
    <n v="65"/>
    <x v="1"/>
    <n v="8"/>
    <n v="0.10738058788365801"/>
    <n v="520"/>
    <n v="464.16209430049781"/>
    <x v="4"/>
  </r>
  <r>
    <s v="PBOR00141"/>
    <s v="PIZB0003"/>
    <x v="14"/>
    <x v="2"/>
    <x v="1"/>
    <n v="250"/>
    <x v="2"/>
    <n v="1"/>
    <n v="0.68298720032284699"/>
    <n v="250"/>
    <n v="79.253199919288249"/>
    <x v="1"/>
  </r>
  <r>
    <s v="PBOR00142"/>
    <s v="PIZB0004"/>
    <x v="16"/>
    <x v="3"/>
    <x v="1"/>
    <n v="130"/>
    <x v="0"/>
    <n v="2"/>
    <n v="8.8476327566971991E-2"/>
    <n v="260"/>
    <n v="236.99615483258728"/>
    <x v="0"/>
  </r>
  <r>
    <s v="PBOR00143"/>
    <s v="PIZB0001"/>
    <x v="17"/>
    <x v="0"/>
    <x v="0"/>
    <n v="72"/>
    <x v="0"/>
    <n v="9"/>
    <n v="0.12263076179640997"/>
    <n v="648"/>
    <n v="568.5352663559263"/>
    <x v="2"/>
  </r>
  <r>
    <s v="PBOR00144"/>
    <s v="PIZB0002"/>
    <x v="17"/>
    <x v="1"/>
    <x v="1"/>
    <n v="65"/>
    <x v="1"/>
    <n v="7"/>
    <n v="0.21348123854438894"/>
    <n v="455"/>
    <n v="357.86603646230304"/>
    <x v="2"/>
  </r>
  <r>
    <s v="PBOR00145"/>
    <s v="PIZB0003"/>
    <x v="5"/>
    <x v="2"/>
    <x v="0"/>
    <n v="250"/>
    <x v="2"/>
    <n v="3"/>
    <n v="0.51777110877083832"/>
    <n v="750"/>
    <n v="361.67166842187129"/>
    <x v="2"/>
  </r>
  <r>
    <s v="PBOR00146"/>
    <s v="PIZB0004"/>
    <x v="16"/>
    <x v="3"/>
    <x v="1"/>
    <n v="130"/>
    <x v="0"/>
    <n v="3"/>
    <n v="0.2471412366587864"/>
    <n v="390"/>
    <n v="293.61491770307333"/>
    <x v="0"/>
  </r>
  <r>
    <s v="PBOR00147"/>
    <s v="PIZB0001"/>
    <x v="1"/>
    <x v="0"/>
    <x v="0"/>
    <n v="72"/>
    <x v="1"/>
    <n v="4"/>
    <n v="0.74108890181243625"/>
    <n v="288"/>
    <n v="74.56639627801836"/>
    <x v="1"/>
  </r>
  <r>
    <s v="PBOR00148"/>
    <s v="PIZB0002"/>
    <x v="18"/>
    <x v="1"/>
    <x v="1"/>
    <n v="65"/>
    <x v="2"/>
    <n v="5"/>
    <n v="0.7589550474918334"/>
    <n v="325"/>
    <n v="78.339609565154149"/>
    <x v="5"/>
  </r>
  <r>
    <s v="PBOR00149"/>
    <s v="PIZB0003"/>
    <x v="3"/>
    <x v="2"/>
    <x v="0"/>
    <n v="250"/>
    <x v="0"/>
    <n v="4"/>
    <n v="0.39519452416647527"/>
    <n v="1000"/>
    <n v="604.80547583352472"/>
    <x v="3"/>
  </r>
  <r>
    <s v="PBOR00150"/>
    <s v="PIZB0004"/>
    <x v="19"/>
    <x v="3"/>
    <x v="1"/>
    <n v="130"/>
    <x v="1"/>
    <n v="5"/>
    <n v="2.5857814158937731E-2"/>
    <n v="650"/>
    <n v="633.1924207966905"/>
    <x v="5"/>
  </r>
  <r>
    <s v="PBOR00151"/>
    <s v="PIZB0005"/>
    <x v="20"/>
    <x v="4"/>
    <x v="0"/>
    <n v="60"/>
    <x v="2"/>
    <n v="10"/>
    <n v="0.35224195755599907"/>
    <n v="600"/>
    <n v="388.65482546640055"/>
    <x v="6"/>
  </r>
  <r>
    <s v="PBOR00152"/>
    <s v="PIZB0001"/>
    <x v="21"/>
    <x v="0"/>
    <x v="1"/>
    <n v="72"/>
    <x v="0"/>
    <n v="12"/>
    <n v="4.2934737769464881E-2"/>
    <n v="864"/>
    <n v="826.90438656718231"/>
    <x v="0"/>
  </r>
  <r>
    <s v="PBOR00153"/>
    <s v="PIZB0002"/>
    <x v="22"/>
    <x v="1"/>
    <x v="0"/>
    <n v="65"/>
    <x v="1"/>
    <n v="12"/>
    <n v="6.8824781708392013E-3"/>
    <n v="780"/>
    <n v="774.63166702674539"/>
    <x v="5"/>
  </r>
  <r>
    <s v="PBOR00154"/>
    <s v="PIZB0003"/>
    <x v="23"/>
    <x v="2"/>
    <x v="1"/>
    <n v="250"/>
    <x v="2"/>
    <n v="1"/>
    <n v="0.8553400747255635"/>
    <n v="250"/>
    <n v="36.164981318609122"/>
    <x v="4"/>
  </r>
  <r>
    <s v="PBOR00155"/>
    <s v="PIZB0004"/>
    <x v="24"/>
    <x v="3"/>
    <x v="0"/>
    <n v="130"/>
    <x v="0"/>
    <n v="6"/>
    <n v="0.62107648533214554"/>
    <n v="780"/>
    <n v="295.56034144092649"/>
    <x v="1"/>
  </r>
  <r>
    <s v="PBOR00156"/>
    <s v="PIZB0001"/>
    <x v="16"/>
    <x v="0"/>
    <x v="1"/>
    <n v="72"/>
    <x v="1"/>
    <n v="3"/>
    <n v="0.93819201157518672"/>
    <n v="216"/>
    <n v="13.350525499759668"/>
    <x v="0"/>
  </r>
  <r>
    <s v="PBOR00157"/>
    <s v="PIZB0002"/>
    <x v="25"/>
    <x v="1"/>
    <x v="0"/>
    <n v="65"/>
    <x v="2"/>
    <n v="12"/>
    <n v="0.97731506347213748"/>
    <n v="780"/>
    <n v="17.694250491732767"/>
    <x v="6"/>
  </r>
  <r>
    <s v="PBOR00158"/>
    <s v="PIZB0003"/>
    <x v="6"/>
    <x v="2"/>
    <x v="1"/>
    <n v="250"/>
    <x v="0"/>
    <n v="3"/>
    <n v="0.93618769203099483"/>
    <n v="750"/>
    <n v="47.859230976753878"/>
    <x v="0"/>
  </r>
  <r>
    <s v="PBOR00159"/>
    <s v="PIZB0004"/>
    <x v="2"/>
    <x v="3"/>
    <x v="0"/>
    <n v="130"/>
    <x v="1"/>
    <n v="5"/>
    <n v="0.92747059451906588"/>
    <n v="650"/>
    <n v="47.144113562607174"/>
    <x v="2"/>
  </r>
  <r>
    <s v="PBOR00160"/>
    <s v="PIZB0005"/>
    <x v="26"/>
    <x v="4"/>
    <x v="0"/>
    <n v="60"/>
    <x v="2"/>
    <n v="8"/>
    <n v="9.8331104648150314E-2"/>
    <n v="480"/>
    <n v="432.80106976888783"/>
    <x v="1"/>
  </r>
  <r>
    <s v="PBOR00161"/>
    <s v="PIZB0006"/>
    <x v="4"/>
    <x v="5"/>
    <x v="1"/>
    <n v="95"/>
    <x v="0"/>
    <n v="5"/>
    <n v="4.5012478047171678E-3"/>
    <n v="475"/>
    <n v="472.86190729275933"/>
    <x v="4"/>
  </r>
  <r>
    <s v="PBOR00162"/>
    <s v="PIZB0001"/>
    <x v="27"/>
    <x v="0"/>
    <x v="1"/>
    <n v="72"/>
    <x v="1"/>
    <n v="9"/>
    <n v="0.22169192366246837"/>
    <n v="648"/>
    <n v="504.34363346672052"/>
    <x v="0"/>
  </r>
  <r>
    <s v="PBOR00163"/>
    <s v="PIZB0002"/>
    <x v="15"/>
    <x v="1"/>
    <x v="1"/>
    <n v="65"/>
    <x v="2"/>
    <n v="6"/>
    <n v="0.91624709117858605"/>
    <n v="390"/>
    <n v="32.663634440351444"/>
    <x v="0"/>
  </r>
  <r>
    <s v="PBOR00164"/>
    <s v="PIZB0003"/>
    <x v="28"/>
    <x v="2"/>
    <x v="0"/>
    <n v="250"/>
    <x v="0"/>
    <n v="3"/>
    <n v="0.61362516317019966"/>
    <n v="750"/>
    <n v="289.78112762235025"/>
    <x v="2"/>
  </r>
  <r>
    <s v="PBOR00165"/>
    <s v="PIZB0004"/>
    <x v="8"/>
    <x v="3"/>
    <x v="0"/>
    <n v="130"/>
    <x v="1"/>
    <n v="4"/>
    <n v="0.81572623665656485"/>
    <n v="520"/>
    <n v="95.822356938586282"/>
    <x v="6"/>
  </r>
  <r>
    <s v="PBOR00166"/>
    <s v="PIZB0001"/>
    <x v="6"/>
    <x v="0"/>
    <x v="0"/>
    <n v="72"/>
    <x v="2"/>
    <n v="11"/>
    <n v="0.60394772308749511"/>
    <n v="792"/>
    <n v="313.67340331470388"/>
    <x v="0"/>
  </r>
  <r>
    <s v="PBOR00167"/>
    <s v="PIZB0002"/>
    <x v="27"/>
    <x v="1"/>
    <x v="0"/>
    <n v="65"/>
    <x v="0"/>
    <n v="7"/>
    <n v="0.2716676542664398"/>
    <n v="455"/>
    <n v="331.39121730876991"/>
    <x v="0"/>
  </r>
  <r>
    <s v="PBOR00168"/>
    <s v="PIZB0003"/>
    <x v="10"/>
    <x v="2"/>
    <x v="0"/>
    <n v="250"/>
    <x v="1"/>
    <n v="2"/>
    <n v="0.56293228162406539"/>
    <n v="500"/>
    <n v="218.53385918796729"/>
    <x v="6"/>
  </r>
  <r>
    <s v="PBOR00169"/>
    <s v="PIZB0004"/>
    <x v="29"/>
    <x v="3"/>
    <x v="0"/>
    <n v="130"/>
    <x v="2"/>
    <n v="4"/>
    <n v="0.73579140219525918"/>
    <n v="520"/>
    <n v="137.38847085846521"/>
    <x v="2"/>
  </r>
  <r>
    <s v="PBOR00170"/>
    <s v="PIZB0005"/>
    <x v="30"/>
    <x v="4"/>
    <x v="0"/>
    <n v="60"/>
    <x v="0"/>
    <n v="12"/>
    <n v="0.44112931781121201"/>
    <n v="720"/>
    <n v="402.38689117592736"/>
    <x v="4"/>
  </r>
  <r>
    <s v="PBOR00171"/>
    <s v="PIZB0001"/>
    <x v="31"/>
    <x v="0"/>
    <x v="0"/>
    <n v="72"/>
    <x v="1"/>
    <n v="11"/>
    <n v="0.67026763876764872"/>
    <n v="792"/>
    <n v="261.14803009602224"/>
    <x v="3"/>
  </r>
  <r>
    <s v="PBOR00172"/>
    <s v="PIZB0002"/>
    <x v="27"/>
    <x v="1"/>
    <x v="0"/>
    <n v="65"/>
    <x v="2"/>
    <n v="9"/>
    <n v="0.21501842814819261"/>
    <n v="585"/>
    <n v="459.2142195333073"/>
    <x v="0"/>
  </r>
  <r>
    <s v="PBOR00173"/>
    <s v="PIZB0003"/>
    <x v="29"/>
    <x v="2"/>
    <x v="1"/>
    <n v="250"/>
    <x v="0"/>
    <n v="3"/>
    <n v="0.77528388030776896"/>
    <n v="750"/>
    <n v="168.53708976917329"/>
    <x v="2"/>
  </r>
  <r>
    <s v="PBOR00174"/>
    <s v="PIZB0004"/>
    <x v="1"/>
    <x v="3"/>
    <x v="0"/>
    <n v="130"/>
    <x v="1"/>
    <n v="3"/>
    <n v="0.32334348690445713"/>
    <n v="390"/>
    <n v="263.89604010726174"/>
    <x v="1"/>
  </r>
  <r>
    <s v="PBOR00175"/>
    <s v="PIZB0001"/>
    <x v="11"/>
    <x v="0"/>
    <x v="0"/>
    <n v="72"/>
    <x v="2"/>
    <n v="5"/>
    <n v="0.2117276391971491"/>
    <n v="360"/>
    <n v="283.77804988902631"/>
    <x v="5"/>
  </r>
  <r>
    <s v="PBOR00176"/>
    <s v="PIZB0002"/>
    <x v="5"/>
    <x v="1"/>
    <x v="0"/>
    <n v="65"/>
    <x v="0"/>
    <n v="10"/>
    <n v="0.99817658128489728"/>
    <n v="650"/>
    <n v="1.1852221648167682"/>
    <x v="2"/>
  </r>
  <r>
    <s v="PBOR00177"/>
    <s v="PIZB0003"/>
    <x v="2"/>
    <x v="2"/>
    <x v="0"/>
    <n v="250"/>
    <x v="1"/>
    <n v="3"/>
    <n v="0.34321661485625221"/>
    <n v="750"/>
    <n v="492.58753885781084"/>
    <x v="2"/>
  </r>
  <r>
    <s v="PBOR00178"/>
    <s v="PIZB0004"/>
    <x v="31"/>
    <x v="3"/>
    <x v="0"/>
    <n v="130"/>
    <x v="2"/>
    <n v="6"/>
    <n v="0.17688363553653064"/>
    <n v="780"/>
    <n v="642.03076428150609"/>
    <x v="3"/>
  </r>
  <r>
    <s v="PBOR00179"/>
    <s v="PIZB0005"/>
    <x v="3"/>
    <x v="4"/>
    <x v="1"/>
    <n v="60"/>
    <x v="0"/>
    <n v="12"/>
    <n v="0.54853763527560739"/>
    <n v="720"/>
    <n v="325.05290260156266"/>
    <x v="3"/>
  </r>
  <r>
    <s v="PBOR00180"/>
    <s v="PIZB0006"/>
    <x v="25"/>
    <x v="5"/>
    <x v="0"/>
    <n v="95"/>
    <x v="1"/>
    <n v="7"/>
    <n v="0.40612729229894939"/>
    <n v="665"/>
    <n v="394.92535062119867"/>
    <x v="6"/>
  </r>
  <r>
    <s v="PBOR00181"/>
    <s v="PIZB0001"/>
    <x v="7"/>
    <x v="0"/>
    <x v="0"/>
    <n v="72"/>
    <x v="2"/>
    <n v="6"/>
    <n v="0.16780300089638589"/>
    <n v="432"/>
    <n v="359.50910361276129"/>
    <x v="5"/>
  </r>
  <r>
    <s v="PBOR00182"/>
    <s v="PIZB0002"/>
    <x v="25"/>
    <x v="1"/>
    <x v="0"/>
    <n v="65"/>
    <x v="0"/>
    <n v="10"/>
    <n v="0.91086777790941564"/>
    <n v="650"/>
    <n v="57.93594435887983"/>
    <x v="6"/>
  </r>
  <r>
    <s v="PBOR00183"/>
    <s v="PIZB0003"/>
    <x v="32"/>
    <x v="2"/>
    <x v="1"/>
    <n v="250"/>
    <x v="1"/>
    <n v="3"/>
    <n v="0.2731985494536886"/>
    <n v="750"/>
    <n v="545.10108790973356"/>
    <x v="6"/>
  </r>
  <r>
    <s v="PBOR00184"/>
    <s v="PIZB0004"/>
    <x v="33"/>
    <x v="3"/>
    <x v="1"/>
    <n v="130"/>
    <x v="2"/>
    <n v="4"/>
    <n v="0.81984662786178419"/>
    <n v="520"/>
    <n v="93.679753511872221"/>
    <x v="4"/>
  </r>
  <r>
    <s v="PBOR00185"/>
    <s v="PIZB0001"/>
    <x v="33"/>
    <x v="0"/>
    <x v="1"/>
    <n v="72"/>
    <x v="0"/>
    <n v="7"/>
    <n v="0.89980934003543744"/>
    <n v="504"/>
    <n v="50.496092622139528"/>
    <x v="4"/>
  </r>
  <r>
    <s v="PBOR00186"/>
    <s v="PIZB0002"/>
    <x v="22"/>
    <x v="1"/>
    <x v="1"/>
    <n v="65"/>
    <x v="1"/>
    <n v="5"/>
    <n v="0.73522347452625669"/>
    <n v="325"/>
    <n v="86.052370778966576"/>
    <x v="5"/>
  </r>
  <r>
    <s v="PBOR00187"/>
    <s v="PIZB0003"/>
    <x v="34"/>
    <x v="2"/>
    <x v="1"/>
    <n v="250"/>
    <x v="2"/>
    <n v="3"/>
    <n v="0.36579213338930128"/>
    <n v="750"/>
    <n v="475.65589995802407"/>
    <x v="3"/>
  </r>
  <r>
    <s v="PBOR00188"/>
    <s v="PIZB0004"/>
    <x v="7"/>
    <x v="3"/>
    <x v="1"/>
    <n v="130"/>
    <x v="0"/>
    <n v="2"/>
    <n v="0.79313642440033238"/>
    <n v="260"/>
    <n v="53.78452965591358"/>
    <x v="5"/>
  </r>
  <r>
    <s v="PBOR00189"/>
    <s v="PIZB0001"/>
    <x v="3"/>
    <x v="0"/>
    <x v="0"/>
    <n v="72"/>
    <x v="0"/>
    <n v="4"/>
    <n v="8.0407664979564641E-2"/>
    <n v="288"/>
    <n v="264.8425924858854"/>
    <x v="3"/>
  </r>
  <r>
    <s v="PBOR00190"/>
    <s v="PIZB0002"/>
    <x v="31"/>
    <x v="1"/>
    <x v="1"/>
    <n v="65"/>
    <x v="1"/>
    <n v="12"/>
    <n v="0.38525936096781821"/>
    <n v="780"/>
    <n v="479.49769844510178"/>
    <x v="3"/>
  </r>
  <r>
    <s v="PBOR00191"/>
    <s v="PIZB0003"/>
    <x v="4"/>
    <x v="2"/>
    <x v="0"/>
    <n v="250"/>
    <x v="2"/>
    <n v="1"/>
    <n v="0.45507177071325888"/>
    <n v="250"/>
    <n v="136.23205732168529"/>
    <x v="4"/>
  </r>
  <r>
    <s v="PBOR00192"/>
    <s v="PIZB0004"/>
    <x v="34"/>
    <x v="3"/>
    <x v="1"/>
    <n v="130"/>
    <x v="0"/>
    <n v="4"/>
    <n v="0.93827031337312128"/>
    <n v="520"/>
    <n v="32.099437045976934"/>
    <x v="3"/>
  </r>
  <r>
    <s v="PBOR00193"/>
    <s v="PIZB0001"/>
    <x v="13"/>
    <x v="0"/>
    <x v="0"/>
    <n v="72"/>
    <x v="1"/>
    <n v="7"/>
    <n v="0.14716035331195043"/>
    <n v="504"/>
    <n v="429.83118193077701"/>
    <x v="1"/>
  </r>
  <r>
    <s v="PBOR00194"/>
    <s v="PIZB0002"/>
    <x v="35"/>
    <x v="1"/>
    <x v="1"/>
    <n v="65"/>
    <x v="2"/>
    <n v="12"/>
    <n v="0.10159867043013626"/>
    <n v="780"/>
    <n v="700.7530370644937"/>
    <x v="4"/>
  </r>
  <r>
    <s v="PBOR00195"/>
    <s v="PIZB0003"/>
    <x v="2"/>
    <x v="2"/>
    <x v="0"/>
    <n v="250"/>
    <x v="0"/>
    <n v="2"/>
    <n v="0.50060788399709522"/>
    <n v="500"/>
    <n v="249.6960580014524"/>
    <x v="2"/>
  </r>
  <r>
    <s v="PBOR00196"/>
    <s v="PIZB0004"/>
    <x v="13"/>
    <x v="3"/>
    <x v="1"/>
    <n v="130"/>
    <x v="1"/>
    <n v="6"/>
    <n v="0.70539643021834586"/>
    <n v="780"/>
    <n v="229.79078442969023"/>
    <x v="1"/>
  </r>
  <r>
    <s v="PBOR00197"/>
    <s v="PIZB0005"/>
    <x v="18"/>
    <x v="4"/>
    <x v="0"/>
    <n v="60"/>
    <x v="2"/>
    <n v="12"/>
    <n v="0.72481379032239401"/>
    <n v="720"/>
    <n v="198.13407096787631"/>
    <x v="5"/>
  </r>
  <r>
    <s v="PBOR00198"/>
    <s v="PIZB0001"/>
    <x v="23"/>
    <x v="0"/>
    <x v="1"/>
    <n v="72"/>
    <x v="0"/>
    <n v="6"/>
    <n v="0.21833121955544521"/>
    <n v="432"/>
    <n v="337.68091315204765"/>
    <x v="4"/>
  </r>
  <r>
    <s v="PBOR00199"/>
    <s v="PIZB0002"/>
    <x v="36"/>
    <x v="1"/>
    <x v="0"/>
    <n v="65"/>
    <x v="1"/>
    <n v="8"/>
    <n v="0.33253524453952932"/>
    <n v="520"/>
    <n v="347.08167283944476"/>
    <x v="1"/>
  </r>
  <r>
    <s v="PBOR00200"/>
    <s v="PIZB0003"/>
    <x v="37"/>
    <x v="2"/>
    <x v="1"/>
    <n v="250"/>
    <x v="2"/>
    <n v="2"/>
    <n v="0.39793552100289009"/>
    <n v="500"/>
    <n v="301.03223949855493"/>
    <x v="5"/>
  </r>
  <r>
    <s v="PBOR00201"/>
    <s v="PIZB0004"/>
    <x v="4"/>
    <x v="3"/>
    <x v="0"/>
    <n v="130"/>
    <x v="0"/>
    <n v="4"/>
    <n v="0.83519533088641318"/>
    <n v="520"/>
    <n v="85.698427939065141"/>
    <x v="4"/>
  </r>
  <r>
    <s v="PBOR00202"/>
    <s v="PIZB0001"/>
    <x v="3"/>
    <x v="0"/>
    <x v="1"/>
    <n v="72"/>
    <x v="1"/>
    <n v="10"/>
    <n v="8.7312208799101843E-3"/>
    <n v="720"/>
    <n v="713.71352096646467"/>
    <x v="3"/>
  </r>
  <r>
    <s v="PBOR00203"/>
    <s v="PIZB0002"/>
    <x v="35"/>
    <x v="1"/>
    <x v="0"/>
    <n v="65"/>
    <x v="2"/>
    <n v="12"/>
    <n v="0.95071636556912675"/>
    <n v="780"/>
    <n v="38.441234856081131"/>
    <x v="4"/>
  </r>
  <r>
    <s v="PBOR00204"/>
    <s v="PIZB0003"/>
    <x v="11"/>
    <x v="2"/>
    <x v="1"/>
    <n v="250"/>
    <x v="0"/>
    <n v="4"/>
    <n v="6.5110770871939172E-2"/>
    <n v="1000"/>
    <n v="934.88922912806083"/>
    <x v="5"/>
  </r>
  <r>
    <s v="PBOR00205"/>
    <s v="PIZB0004"/>
    <x v="10"/>
    <x v="3"/>
    <x v="0"/>
    <n v="130"/>
    <x v="1"/>
    <n v="6"/>
    <n v="0.43772024513265795"/>
    <n v="780"/>
    <n v="438.57820879652678"/>
    <x v="6"/>
  </r>
  <r>
    <s v="PBOR00206"/>
    <s v="PIZB0005"/>
    <x v="1"/>
    <x v="4"/>
    <x v="0"/>
    <n v="60"/>
    <x v="2"/>
    <n v="7"/>
    <n v="0.41853663840169475"/>
    <n v="420"/>
    <n v="244.21461187128821"/>
    <x v="1"/>
  </r>
  <r>
    <s v="PBOR00207"/>
    <s v="PIZB0006"/>
    <x v="17"/>
    <x v="5"/>
    <x v="1"/>
    <n v="95"/>
    <x v="0"/>
    <n v="7"/>
    <n v="0.38824165845812764"/>
    <n v="665"/>
    <n v="406.81929712534514"/>
    <x v="2"/>
  </r>
  <r>
    <s v="PBOR00208"/>
    <s v="PIZB0001"/>
    <x v="17"/>
    <x v="0"/>
    <x v="1"/>
    <n v="72"/>
    <x v="1"/>
    <n v="3"/>
    <n v="0.75434060698733896"/>
    <n v="216"/>
    <n v="53.062428890734786"/>
    <x v="2"/>
  </r>
  <r>
    <s v="PBOR00209"/>
    <s v="PIZB0002"/>
    <x v="37"/>
    <x v="1"/>
    <x v="1"/>
    <n v="65"/>
    <x v="2"/>
    <n v="12"/>
    <n v="0.61587381700020483"/>
    <n v="780"/>
    <n v="299.61842273984024"/>
    <x v="5"/>
  </r>
  <r>
    <s v="PBOR00210"/>
    <s v="PIZB0003"/>
    <x v="4"/>
    <x v="2"/>
    <x v="0"/>
    <n v="250"/>
    <x v="0"/>
    <n v="2"/>
    <n v="0.80006888756762451"/>
    <n v="500"/>
    <n v="99.96555621618775"/>
    <x v="4"/>
  </r>
  <r>
    <s v="PBOR00211"/>
    <s v="PIZB0004"/>
    <x v="2"/>
    <x v="3"/>
    <x v="0"/>
    <n v="130"/>
    <x v="1"/>
    <n v="5"/>
    <n v="0.68228949683615203"/>
    <n v="650"/>
    <n v="206.51182705650118"/>
    <x v="2"/>
  </r>
  <r>
    <s v="PBOR00212"/>
    <s v="PIZB0001"/>
    <x v="12"/>
    <x v="0"/>
    <x v="0"/>
    <n v="72"/>
    <x v="2"/>
    <n v="10"/>
    <n v="1.6479509006877335E-2"/>
    <n v="720"/>
    <n v="708.13475351504837"/>
    <x v="4"/>
  </r>
  <r>
    <s v="PBOR00213"/>
    <s v="PIZB0002"/>
    <x v="0"/>
    <x v="1"/>
    <x v="0"/>
    <n v="65"/>
    <x v="0"/>
    <n v="10"/>
    <n v="0.23078123893127422"/>
    <n v="650"/>
    <n v="499.99219469467175"/>
    <x v="0"/>
  </r>
  <r>
    <s v="PBOR00214"/>
    <s v="PIZB0003"/>
    <x v="38"/>
    <x v="2"/>
    <x v="0"/>
    <n v="250"/>
    <x v="1"/>
    <n v="3"/>
    <n v="2.2225272121484729E-2"/>
    <n v="750"/>
    <n v="733.33104590888649"/>
    <x v="3"/>
  </r>
  <r>
    <s v="PBOR00215"/>
    <s v="PIZB0004"/>
    <x v="1"/>
    <x v="3"/>
    <x v="0"/>
    <n v="130"/>
    <x v="2"/>
    <n v="3"/>
    <n v="0.72206439626516772"/>
    <n v="390"/>
    <n v="108.39488545658459"/>
    <x v="1"/>
  </r>
  <r>
    <s v="PBOR00216"/>
    <s v="PIZB0005"/>
    <x v="2"/>
    <x v="4"/>
    <x v="0"/>
    <n v="60"/>
    <x v="0"/>
    <n v="7"/>
    <n v="0.66067744665264683"/>
    <n v="420"/>
    <n v="142.51547240588835"/>
    <x v="2"/>
  </r>
  <r>
    <s v="PBOR00217"/>
    <s v="PIZB0001"/>
    <x v="5"/>
    <x v="0"/>
    <x v="0"/>
    <n v="72"/>
    <x v="1"/>
    <n v="6"/>
    <n v="0.14048396352986114"/>
    <n v="432"/>
    <n v="371.31092775510001"/>
    <x v="2"/>
  </r>
  <r>
    <s v="PBOR00218"/>
    <s v="PIZB0002"/>
    <x v="3"/>
    <x v="1"/>
    <x v="0"/>
    <n v="65"/>
    <x v="2"/>
    <n v="8"/>
    <n v="0.37872981249566817"/>
    <n v="520"/>
    <n v="323.06049750225253"/>
    <x v="3"/>
  </r>
  <r>
    <s v="PBOR00219"/>
    <s v="PIZB0003"/>
    <x v="36"/>
    <x v="2"/>
    <x v="1"/>
    <n v="250"/>
    <x v="0"/>
    <n v="2"/>
    <n v="0.71515589694127546"/>
    <n v="500"/>
    <n v="142.42205152936228"/>
    <x v="1"/>
  </r>
  <r>
    <s v="PBOR00220"/>
    <s v="PIZB0004"/>
    <x v="24"/>
    <x v="3"/>
    <x v="0"/>
    <n v="130"/>
    <x v="1"/>
    <n v="6"/>
    <n v="0.21412519358799298"/>
    <n v="780"/>
    <n v="612.98234900136549"/>
    <x v="1"/>
  </r>
  <r>
    <s v="PBOR00221"/>
    <s v="PIZB0001"/>
    <x v="21"/>
    <x v="0"/>
    <x v="0"/>
    <n v="72"/>
    <x v="2"/>
    <n v="6"/>
    <n v="0.16455091596073168"/>
    <n v="432"/>
    <n v="360.9140043049639"/>
    <x v="0"/>
  </r>
  <r>
    <s v="PBOR00222"/>
    <s v="PIZB0002"/>
    <x v="32"/>
    <x v="1"/>
    <x v="0"/>
    <n v="65"/>
    <x v="0"/>
    <n v="4"/>
    <n v="0.25666907491668522"/>
    <n v="260"/>
    <n v="193.26604052166184"/>
    <x v="6"/>
  </r>
  <r>
    <s v="PBOR00223"/>
    <s v="PIZB0003"/>
    <x v="4"/>
    <x v="2"/>
    <x v="0"/>
    <n v="250"/>
    <x v="1"/>
    <n v="3"/>
    <n v="0.90160231788426648"/>
    <n v="750"/>
    <n v="73.798261586800137"/>
    <x v="4"/>
  </r>
  <r>
    <s v="PBOR00224"/>
    <s v="PIZB0004"/>
    <x v="2"/>
    <x v="3"/>
    <x v="0"/>
    <n v="130"/>
    <x v="2"/>
    <n v="2"/>
    <n v="0.320164833885899"/>
    <n v="260"/>
    <n v="176.75714318966627"/>
    <x v="2"/>
  </r>
  <r>
    <s v="PBOR00225"/>
    <s v="PIZB0005"/>
    <x v="27"/>
    <x v="4"/>
    <x v="1"/>
    <n v="60"/>
    <x v="0"/>
    <n v="9"/>
    <n v="0.13498450487731639"/>
    <n v="540"/>
    <n v="467.10836736624913"/>
    <x v="0"/>
  </r>
  <r>
    <s v="PBOR00226"/>
    <s v="PIZB0006"/>
    <x v="0"/>
    <x v="5"/>
    <x v="0"/>
    <n v="95"/>
    <x v="1"/>
    <n v="5"/>
    <n v="0.91789593738279973"/>
    <n v="475"/>
    <n v="38.999429743170126"/>
    <x v="0"/>
  </r>
  <r>
    <s v="PBOR00227"/>
    <s v="PIZB0001"/>
    <x v="1"/>
    <x v="0"/>
    <x v="0"/>
    <n v="72"/>
    <x v="2"/>
    <n v="3"/>
    <n v="0.98021726342122206"/>
    <n v="216"/>
    <n v="4.2730711010160345"/>
    <x v="1"/>
  </r>
  <r>
    <s v="PBOR00228"/>
    <s v="PIZB0002"/>
    <x v="28"/>
    <x v="1"/>
    <x v="0"/>
    <n v="65"/>
    <x v="0"/>
    <n v="7"/>
    <n v="6.7354248366482961E-2"/>
    <n v="455"/>
    <n v="424.35381699325023"/>
    <x v="2"/>
  </r>
  <r>
    <s v="PBOR00229"/>
    <s v="PIZB0003"/>
    <x v="8"/>
    <x v="2"/>
    <x v="1"/>
    <n v="250"/>
    <x v="1"/>
    <n v="2"/>
    <n v="0.49907272133883429"/>
    <n v="500"/>
    <n v="250.46363933058285"/>
    <x v="6"/>
  </r>
  <r>
    <s v="PBOR00230"/>
    <s v="PIZB0004"/>
    <x v="33"/>
    <x v="3"/>
    <x v="1"/>
    <n v="130"/>
    <x v="2"/>
    <n v="5"/>
    <n v="0.61466468459589796"/>
    <n v="650"/>
    <n v="250.46795501266632"/>
    <x v="4"/>
  </r>
  <r>
    <s v="PBOR00231"/>
    <s v="PIZB0001"/>
    <x v="14"/>
    <x v="0"/>
    <x v="1"/>
    <n v="72"/>
    <x v="0"/>
    <n v="7"/>
    <n v="0.94639798804768638"/>
    <n v="504"/>
    <n v="27.015414023966066"/>
    <x v="1"/>
  </r>
  <r>
    <s v="PBOR00232"/>
    <s v="PIZB0002"/>
    <x v="16"/>
    <x v="1"/>
    <x v="1"/>
    <n v="65"/>
    <x v="1"/>
    <n v="10"/>
    <n v="0.95168663838417633"/>
    <n v="650"/>
    <n v="31.403685050285386"/>
    <x v="0"/>
  </r>
  <r>
    <s v="PBOR00233"/>
    <s v="PIZB0003"/>
    <x v="17"/>
    <x v="2"/>
    <x v="1"/>
    <n v="250"/>
    <x v="2"/>
    <n v="2"/>
    <n v="0.55958868077394219"/>
    <n v="500"/>
    <n v="220.2056596130289"/>
    <x v="2"/>
  </r>
  <r>
    <s v="PBOR00234"/>
    <s v="PIZB0004"/>
    <x v="17"/>
    <x v="3"/>
    <x v="1"/>
    <n v="130"/>
    <x v="0"/>
    <n v="2"/>
    <n v="0.81003936677165544"/>
    <n v="260"/>
    <n v="49.389764639369588"/>
    <x v="2"/>
  </r>
  <r>
    <s v="PBOR00235"/>
    <s v="PIZB0001"/>
    <x v="5"/>
    <x v="0"/>
    <x v="1"/>
    <n v="72"/>
    <x v="0"/>
    <n v="12"/>
    <n v="0.35450072343254235"/>
    <n v="864"/>
    <n v="557.71137495428343"/>
    <x v="2"/>
  </r>
  <r>
    <s v="PBOR00236"/>
    <s v="PIZB0002"/>
    <x v="16"/>
    <x v="1"/>
    <x v="0"/>
    <n v="65"/>
    <x v="1"/>
    <n v="11"/>
    <n v="0.34895469608332785"/>
    <n v="715"/>
    <n v="465.49739230042059"/>
    <x v="0"/>
  </r>
  <r>
    <s v="PBOR00237"/>
    <s v="PIZB0003"/>
    <x v="1"/>
    <x v="2"/>
    <x v="0"/>
    <n v="250"/>
    <x v="2"/>
    <n v="2"/>
    <n v="0.52279578451533193"/>
    <n v="500"/>
    <n v="238.60210774233403"/>
    <x v="1"/>
  </r>
  <r>
    <s v="PBOR00238"/>
    <s v="PIZB0004"/>
    <x v="18"/>
    <x v="3"/>
    <x v="0"/>
    <n v="130"/>
    <x v="0"/>
    <n v="3"/>
    <n v="0.69617887937852907"/>
    <n v="390"/>
    <n v="118.49023704237366"/>
    <x v="5"/>
  </r>
  <r>
    <s v="PBOR00239"/>
    <s v="PIZB0001"/>
    <x v="3"/>
    <x v="0"/>
    <x v="1"/>
    <n v="72"/>
    <x v="1"/>
    <n v="6"/>
    <n v="0.55638354082081654"/>
    <n v="432"/>
    <n v="191.64231036540727"/>
    <x v="3"/>
  </r>
  <r>
    <s v="PBOR00240"/>
    <s v="PIZB0002"/>
    <x v="19"/>
    <x v="1"/>
    <x v="1"/>
    <n v="65"/>
    <x v="2"/>
    <n v="8"/>
    <n v="7.8132692098414003E-2"/>
    <n v="520"/>
    <n v="479.37100010882472"/>
    <x v="5"/>
  </r>
  <r>
    <s v="PBOR00241"/>
    <s v="PIZB0003"/>
    <x v="20"/>
    <x v="2"/>
    <x v="1"/>
    <n v="250"/>
    <x v="0"/>
    <n v="1"/>
    <n v="0.37783112687678633"/>
    <n v="250"/>
    <n v="155.54221828080341"/>
    <x v="6"/>
  </r>
  <r>
    <s v="PBOR00242"/>
    <s v="PIZB0004"/>
    <x v="21"/>
    <x v="3"/>
    <x v="1"/>
    <n v="130"/>
    <x v="1"/>
    <n v="7"/>
    <n v="0.34200944354303275"/>
    <n v="910"/>
    <n v="598.77140637584023"/>
    <x v="0"/>
  </r>
  <r>
    <s v="PBOR00243"/>
    <s v="PIZB0005"/>
    <x v="22"/>
    <x v="4"/>
    <x v="1"/>
    <n v="60"/>
    <x v="2"/>
    <n v="11"/>
    <n v="0.92737976442865855"/>
    <n v="660"/>
    <n v="47.929355477085359"/>
    <x v="5"/>
  </r>
  <r>
    <s v="PBOR00244"/>
    <s v="PIZB0001"/>
    <x v="23"/>
    <x v="0"/>
    <x v="1"/>
    <n v="72"/>
    <x v="0"/>
    <n v="6"/>
    <n v="0.96938667185148797"/>
    <n v="432"/>
    <n v="13.224957760157197"/>
    <x v="4"/>
  </r>
  <r>
    <s v="PBOR00245"/>
    <s v="PIZB0002"/>
    <x v="24"/>
    <x v="1"/>
    <x v="1"/>
    <n v="65"/>
    <x v="1"/>
    <n v="6"/>
    <n v="0.24406307827004359"/>
    <n v="390"/>
    <n v="294.81539947468298"/>
    <x v="1"/>
  </r>
  <r>
    <s v="PBOR00246"/>
    <s v="PIZB0003"/>
    <x v="16"/>
    <x v="2"/>
    <x v="0"/>
    <n v="250"/>
    <x v="2"/>
    <n v="2"/>
    <n v="0.931057824254786"/>
    <n v="500"/>
    <n v="34.471087872607001"/>
    <x v="0"/>
  </r>
  <r>
    <s v="PBOR00247"/>
    <s v="PIZB0004"/>
    <x v="25"/>
    <x v="3"/>
    <x v="0"/>
    <n v="130"/>
    <x v="0"/>
    <n v="4"/>
    <n v="0.67570229189541975"/>
    <n v="520"/>
    <n v="168.63480821438174"/>
    <x v="6"/>
  </r>
  <r>
    <s v="PBOR00248"/>
    <s v="PIZB0001"/>
    <x v="6"/>
    <x v="0"/>
    <x v="0"/>
    <n v="72"/>
    <x v="1"/>
    <n v="7"/>
    <n v="0.91192982577548221"/>
    <n v="504"/>
    <n v="44.38736780915697"/>
    <x v="0"/>
  </r>
  <r>
    <s v="PBOR00249"/>
    <s v="PIZB0002"/>
    <x v="2"/>
    <x v="1"/>
    <x v="1"/>
    <n v="65"/>
    <x v="2"/>
    <n v="13"/>
    <n v="0.46313611506175134"/>
    <n v="845"/>
    <n v="453.64998277282012"/>
    <x v="2"/>
  </r>
  <r>
    <s v="PBOR00250"/>
    <s v="PIZB0003"/>
    <x v="26"/>
    <x v="2"/>
    <x v="1"/>
    <n v="250"/>
    <x v="0"/>
    <n v="1"/>
    <n v="5.3530222562513607E-2"/>
    <n v="250"/>
    <n v="236.6174443593716"/>
    <x v="1"/>
  </r>
  <r>
    <s v="PBOR00251"/>
    <s v="PIZB0004"/>
    <x v="4"/>
    <x v="3"/>
    <x v="1"/>
    <n v="130"/>
    <x v="1"/>
    <n v="2"/>
    <n v="0.10135414856508229"/>
    <n v="260"/>
    <n v="233.64792137307862"/>
    <x v="4"/>
  </r>
  <r>
    <s v="PBOR00252"/>
    <s v="PIZB0005"/>
    <x v="27"/>
    <x v="4"/>
    <x v="1"/>
    <n v="60"/>
    <x v="2"/>
    <n v="10"/>
    <n v="0.15413196820236597"/>
    <n v="600"/>
    <n v="507.52081907858042"/>
    <x v="0"/>
  </r>
  <r>
    <s v="PBOR00253"/>
    <s v="PIZB0006"/>
    <x v="15"/>
    <x v="5"/>
    <x v="1"/>
    <n v="95"/>
    <x v="0"/>
    <n v="4"/>
    <n v="0.99147229272651061"/>
    <n v="380"/>
    <n v="3.2405287639259694"/>
    <x v="0"/>
  </r>
  <r>
    <s v="PBOR00254"/>
    <s v="PIZB0001"/>
    <x v="28"/>
    <x v="0"/>
    <x v="1"/>
    <n v="72"/>
    <x v="1"/>
    <n v="4"/>
    <n v="0.26792541838229555"/>
    <n v="288"/>
    <n v="210.83747950589887"/>
    <x v="2"/>
  </r>
  <r>
    <s v="PBOR00255"/>
    <s v="PIZB0002"/>
    <x v="8"/>
    <x v="1"/>
    <x v="1"/>
    <n v="65"/>
    <x v="2"/>
    <n v="7"/>
    <n v="0.67400237007588726"/>
    <n v="455"/>
    <n v="148.3289216154713"/>
    <x v="6"/>
  </r>
  <r>
    <s v="PBOR00256"/>
    <s v="PIZB0003"/>
    <x v="6"/>
    <x v="2"/>
    <x v="0"/>
    <n v="250"/>
    <x v="0"/>
    <n v="2"/>
    <n v="0.10779012567415547"/>
    <n v="500"/>
    <n v="446.10493716292228"/>
    <x v="0"/>
  </r>
  <r>
    <s v="PBOR00257"/>
    <s v="PIZB0004"/>
    <x v="27"/>
    <x v="3"/>
    <x v="0"/>
    <n v="130"/>
    <x v="1"/>
    <n v="4"/>
    <n v="6.5825812137458972E-2"/>
    <n v="520"/>
    <n v="485.77057768852131"/>
    <x v="0"/>
  </r>
  <r>
    <s v="PBOR00258"/>
    <s v="PIZB0001"/>
    <x v="10"/>
    <x v="0"/>
    <x v="0"/>
    <n v="72"/>
    <x v="2"/>
    <n v="11"/>
    <n v="0.36167362480508147"/>
    <n v="792"/>
    <n v="505.55448915437546"/>
    <x v="6"/>
  </r>
  <r>
    <s v="PBOR00259"/>
    <s v="PIZB0002"/>
    <x v="29"/>
    <x v="1"/>
    <x v="1"/>
    <n v="65"/>
    <x v="0"/>
    <n v="9"/>
    <n v="0.15611277710708626"/>
    <n v="585"/>
    <n v="493.67402539235451"/>
    <x v="2"/>
  </r>
  <r>
    <s v="PBOR00260"/>
    <s v="PIZB0003"/>
    <x v="30"/>
    <x v="2"/>
    <x v="1"/>
    <n v="250"/>
    <x v="1"/>
    <n v="2"/>
    <n v="0.11892962947938523"/>
    <n v="500"/>
    <n v="440.5351852603074"/>
    <x v="4"/>
  </r>
  <r>
    <s v="PBOR00261"/>
    <s v="PIZB0004"/>
    <x v="31"/>
    <x v="3"/>
    <x v="1"/>
    <n v="130"/>
    <x v="2"/>
    <n v="5"/>
    <n v="0.94178498482348294"/>
    <n v="650"/>
    <n v="37.839759864736088"/>
    <x v="3"/>
  </r>
  <r>
    <s v="PBOR00262"/>
    <s v="PIZB0005"/>
    <x v="27"/>
    <x v="4"/>
    <x v="1"/>
    <n v="60"/>
    <x v="0"/>
    <n v="5"/>
    <n v="0.82224390590219021"/>
    <n v="300"/>
    <n v="53.326828229342937"/>
    <x v="0"/>
  </r>
  <r>
    <s v="PBOR00263"/>
    <s v="PIZB0001"/>
    <x v="29"/>
    <x v="0"/>
    <x v="1"/>
    <n v="72"/>
    <x v="1"/>
    <n v="10"/>
    <n v="1.5473035826796155E-2"/>
    <n v="720"/>
    <n v="708.85941420470681"/>
    <x v="2"/>
  </r>
  <r>
    <s v="PBOR00264"/>
    <s v="PIZB0002"/>
    <x v="1"/>
    <x v="1"/>
    <x v="1"/>
    <n v="65"/>
    <x v="2"/>
    <n v="3"/>
    <n v="0.57002189482885535"/>
    <n v="195"/>
    <n v="83.845730508373208"/>
    <x v="1"/>
  </r>
  <r>
    <s v="PBOR00265"/>
    <s v="PIZB0003"/>
    <x v="11"/>
    <x v="2"/>
    <x v="0"/>
    <n v="250"/>
    <x v="0"/>
    <n v="3"/>
    <n v="0.22169123462523532"/>
    <n v="750"/>
    <n v="583.73157403107348"/>
    <x v="5"/>
  </r>
  <r>
    <s v="PBOR00266"/>
    <s v="PIZB0004"/>
    <x v="5"/>
    <x v="3"/>
    <x v="1"/>
    <n v="130"/>
    <x v="1"/>
    <n v="6"/>
    <n v="0.16327712663351335"/>
    <n v="780"/>
    <n v="652.64384122585955"/>
    <x v="2"/>
  </r>
  <r>
    <s v="PBOR00267"/>
    <s v="PIZB0001"/>
    <x v="2"/>
    <x v="0"/>
    <x v="0"/>
    <n v="72"/>
    <x v="2"/>
    <n v="9"/>
    <n v="0.71431849239690393"/>
    <n v="648"/>
    <n v="185.12161692680627"/>
    <x v="2"/>
  </r>
  <r>
    <s v="PBOR00268"/>
    <s v="PIZB0002"/>
    <x v="31"/>
    <x v="1"/>
    <x v="1"/>
    <n v="65"/>
    <x v="0"/>
    <n v="7"/>
    <n v="0.58151491016386692"/>
    <n v="455"/>
    <n v="190.41071587544056"/>
    <x v="3"/>
  </r>
  <r>
    <s v="PBOR00269"/>
    <s v="PIZB0003"/>
    <x v="3"/>
    <x v="2"/>
    <x v="0"/>
    <n v="250"/>
    <x v="1"/>
    <n v="1"/>
    <n v="0.94025500085845537"/>
    <n v="250"/>
    <n v="14.936249785386158"/>
    <x v="3"/>
  </r>
  <r>
    <s v="PBOR00270"/>
    <s v="PIZB0004"/>
    <x v="25"/>
    <x v="3"/>
    <x v="1"/>
    <n v="130"/>
    <x v="2"/>
    <n v="3"/>
    <n v="0.85696007733376245"/>
    <n v="390"/>
    <n v="55.785569839832647"/>
    <x v="6"/>
  </r>
  <r>
    <s v="PBOR00271"/>
    <s v="PIZB0005"/>
    <x v="7"/>
    <x v="4"/>
    <x v="0"/>
    <n v="60"/>
    <x v="0"/>
    <n v="6"/>
    <n v="0.73704670632037661"/>
    <n v="360"/>
    <n v="94.663185724664416"/>
    <x v="5"/>
  </r>
  <r>
    <s v="PBOR00272"/>
    <s v="PIZB0006"/>
    <x v="25"/>
    <x v="5"/>
    <x v="1"/>
    <n v="95"/>
    <x v="1"/>
    <n v="5"/>
    <n v="0.99556674564351355"/>
    <n v="475"/>
    <n v="2.1057958193310631"/>
    <x v="6"/>
  </r>
  <r>
    <s v="PBOR00273"/>
    <s v="PIZB0001"/>
    <x v="32"/>
    <x v="0"/>
    <x v="0"/>
    <n v="72"/>
    <x v="2"/>
    <n v="8"/>
    <n v="0.82336237784945987"/>
    <n v="576"/>
    <n v="101.74327035871111"/>
    <x v="6"/>
  </r>
  <r>
    <s v="PBOR00274"/>
    <s v="PIZB0002"/>
    <x v="33"/>
    <x v="1"/>
    <x v="1"/>
    <n v="65"/>
    <x v="0"/>
    <n v="13"/>
    <n v="0.21429857063805535"/>
    <n v="845"/>
    <n v="663.91770781084324"/>
    <x v="4"/>
  </r>
  <r>
    <s v="PBOR00275"/>
    <s v="PIZB0003"/>
    <x v="33"/>
    <x v="2"/>
    <x v="0"/>
    <n v="250"/>
    <x v="1"/>
    <n v="2"/>
    <n v="0.9858246368711242"/>
    <n v="500"/>
    <n v="7.0876815644378972"/>
    <x v="4"/>
  </r>
  <r>
    <s v="PBOR00276"/>
    <s v="PIZB0004"/>
    <x v="22"/>
    <x v="3"/>
    <x v="1"/>
    <n v="130"/>
    <x v="2"/>
    <n v="6"/>
    <n v="2.0787857004193944E-2"/>
    <n v="780"/>
    <n v="763.78547153672878"/>
    <x v="5"/>
  </r>
  <r>
    <s v="PBOR00277"/>
    <s v="PIZB0001"/>
    <x v="34"/>
    <x v="0"/>
    <x v="0"/>
    <n v="72"/>
    <x v="0"/>
    <n v="8"/>
    <n v="0.4043041551106823"/>
    <n v="576"/>
    <n v="343.120806656247"/>
    <x v="3"/>
  </r>
  <r>
    <s v="PBOR00278"/>
    <s v="PIZB0002"/>
    <x v="7"/>
    <x v="1"/>
    <x v="1"/>
    <n v="65"/>
    <x v="1"/>
    <n v="6"/>
    <n v="0.86228936216370378"/>
    <n v="390"/>
    <n v="53.707148756155526"/>
    <x v="5"/>
  </r>
  <r>
    <s v="PBOR00279"/>
    <s v="PIZB0003"/>
    <x v="3"/>
    <x v="2"/>
    <x v="0"/>
    <n v="250"/>
    <x v="2"/>
    <n v="3"/>
    <n v="0.20267200262393703"/>
    <n v="750"/>
    <n v="597.99599803204728"/>
    <x v="3"/>
  </r>
  <r>
    <s v="PBOR00280"/>
    <s v="PIZB0004"/>
    <x v="31"/>
    <x v="0"/>
    <x v="1"/>
    <n v="72"/>
    <x v="0"/>
    <n v="6"/>
    <n v="0.42721330596562979"/>
    <n v="432"/>
    <n v="247.44385182284793"/>
    <x v="3"/>
  </r>
  <r>
    <s v="PBOR00281"/>
    <s v="PIZB0001"/>
    <x v="4"/>
    <x v="1"/>
    <x v="0"/>
    <n v="65"/>
    <x v="0"/>
    <n v="13"/>
    <n v="0.87108149970897442"/>
    <n v="845"/>
    <n v="108.93613274591662"/>
    <x v="4"/>
  </r>
  <r>
    <s v="PBOR00282"/>
    <s v="PIZB0002"/>
    <x v="34"/>
    <x v="2"/>
    <x v="1"/>
    <n v="250"/>
    <x v="1"/>
    <n v="1"/>
    <n v="2.6358009716956676E-2"/>
    <n v="250"/>
    <n v="243.41049757076084"/>
    <x v="3"/>
  </r>
  <r>
    <s v="PBOR00283"/>
    <s v="PIZB0003"/>
    <x v="13"/>
    <x v="3"/>
    <x v="1"/>
    <n v="130"/>
    <x v="2"/>
    <n v="3"/>
    <n v="0.77767785740350603"/>
    <n v="390"/>
    <n v="86.705635612632648"/>
    <x v="1"/>
  </r>
  <r>
    <s v="PBOR00284"/>
    <s v="PIZB0004"/>
    <x v="35"/>
    <x v="0"/>
    <x v="1"/>
    <n v="72"/>
    <x v="0"/>
    <n v="3"/>
    <n v="0.68682565144107521"/>
    <n v="216"/>
    <n v="67.645659288727757"/>
    <x v="4"/>
  </r>
  <r>
    <s v="PBOR00285"/>
    <s v="PIZB0001"/>
    <x v="2"/>
    <x v="1"/>
    <x v="1"/>
    <n v="65"/>
    <x v="1"/>
    <n v="14"/>
    <n v="0.58269109940879071"/>
    <n v="910"/>
    <n v="379.75109953800046"/>
    <x v="2"/>
  </r>
  <r>
    <s v="PBOR00286"/>
    <s v="PIZB0002"/>
    <x v="13"/>
    <x v="2"/>
    <x v="1"/>
    <n v="250"/>
    <x v="2"/>
    <n v="3"/>
    <n v="0.44339908275720785"/>
    <n v="750"/>
    <n v="417.45068793209413"/>
    <x v="1"/>
  </r>
  <r>
    <s v="PBOR00287"/>
    <s v="PIZB0003"/>
    <x v="18"/>
    <x v="3"/>
    <x v="0"/>
    <n v="130"/>
    <x v="0"/>
    <n v="3"/>
    <n v="0.12575036810320794"/>
    <n v="390"/>
    <n v="340.95735643974888"/>
    <x v="5"/>
  </r>
  <r>
    <s v="PBOR00288"/>
    <s v="PIZB0004"/>
    <x v="23"/>
    <x v="4"/>
    <x v="1"/>
    <n v="60"/>
    <x v="1"/>
    <n v="13"/>
    <n v="0.58443763111426095"/>
    <n v="780"/>
    <n v="324.13864773087647"/>
    <x v="4"/>
  </r>
  <r>
    <s v="PBOR00289"/>
    <s v="PIZB0005"/>
    <x v="36"/>
    <x v="0"/>
    <x v="0"/>
    <n v="72"/>
    <x v="2"/>
    <n v="11"/>
    <n v="0.20269838427382159"/>
    <n v="792"/>
    <n v="631.46287965513329"/>
    <x v="1"/>
  </r>
  <r>
    <s v="PBOR00290"/>
    <s v="PIZB0001"/>
    <x v="37"/>
    <x v="1"/>
    <x v="1"/>
    <n v="65"/>
    <x v="0"/>
    <n v="5"/>
    <n v="0.34588473967990274"/>
    <n v="325"/>
    <n v="212.58745960403161"/>
    <x v="5"/>
  </r>
  <r>
    <s v="PBOR00291"/>
    <s v="PIZB0002"/>
    <x v="4"/>
    <x v="2"/>
    <x v="0"/>
    <n v="250"/>
    <x v="1"/>
    <n v="3"/>
    <n v="0.44863071332488991"/>
    <n v="750"/>
    <n v="413.52696500633255"/>
    <x v="4"/>
  </r>
  <r>
    <s v="PBOR00292"/>
    <s v="PIZB0003"/>
    <x v="3"/>
    <x v="3"/>
    <x v="1"/>
    <n v="130"/>
    <x v="2"/>
    <n v="2"/>
    <n v="0.41195662281860623"/>
    <n v="260"/>
    <n v="152.89127806716238"/>
    <x v="3"/>
  </r>
  <r>
    <s v="PBOR00293"/>
    <s v="PIZB0004"/>
    <x v="35"/>
    <x v="0"/>
    <x v="0"/>
    <n v="72"/>
    <x v="0"/>
    <n v="10"/>
    <n v="0.78611978286567918"/>
    <n v="720"/>
    <n v="153.99375633671099"/>
    <x v="4"/>
  </r>
  <r>
    <s v="PBOR00294"/>
    <s v="PIZB0001"/>
    <x v="11"/>
    <x v="1"/>
    <x v="1"/>
    <n v="65"/>
    <x v="1"/>
    <n v="12"/>
    <n v="0.82093526112515247"/>
    <n v="780"/>
    <n v="139.67049632238107"/>
    <x v="5"/>
  </r>
  <r>
    <s v="PBOR00295"/>
    <s v="PIZB0002"/>
    <x v="10"/>
    <x v="2"/>
    <x v="0"/>
    <n v="250"/>
    <x v="2"/>
    <n v="3"/>
    <n v="0.5655055849614361"/>
    <n v="750"/>
    <n v="325.87081127892293"/>
    <x v="6"/>
  </r>
  <r>
    <s v="PBOR00296"/>
    <s v="PIZB0003"/>
    <x v="1"/>
    <x v="3"/>
    <x v="1"/>
    <n v="130"/>
    <x v="0"/>
    <n v="4"/>
    <n v="0.48001599413027629"/>
    <n v="520"/>
    <n v="270.39168305225633"/>
    <x v="1"/>
  </r>
  <r>
    <s v="PBOR00297"/>
    <s v="PIZB0004"/>
    <x v="17"/>
    <x v="4"/>
    <x v="0"/>
    <n v="60"/>
    <x v="1"/>
    <n v="9"/>
    <n v="0.80703544305681518"/>
    <n v="540"/>
    <n v="104.2008607493198"/>
    <x v="2"/>
  </r>
  <r>
    <s v="PBOR00298"/>
    <s v="PIZB0005"/>
    <x v="17"/>
    <x v="5"/>
    <x v="1"/>
    <n v="95"/>
    <x v="2"/>
    <n v="6"/>
    <n v="0.13472953271650978"/>
    <n v="570"/>
    <n v="493.20416635158944"/>
    <x v="2"/>
  </r>
  <r>
    <s v="PBOR00299"/>
    <s v="PIZB0006"/>
    <x v="37"/>
    <x v="0"/>
    <x v="0"/>
    <n v="72"/>
    <x v="0"/>
    <n v="9"/>
    <n v="0.53735244514022174"/>
    <n v="648"/>
    <n v="299.7956155491363"/>
    <x v="5"/>
  </r>
  <r>
    <s v="PBOR00300"/>
    <s v="PIZB0001"/>
    <x v="4"/>
    <x v="1"/>
    <x v="1"/>
    <n v="65"/>
    <x v="1"/>
    <n v="10"/>
    <n v="0.86493253723020291"/>
    <n v="650"/>
    <n v="87.793850800368105"/>
    <x v="4"/>
  </r>
  <r>
    <s v="PBOR00301"/>
    <s v="PIZB0002"/>
    <x v="2"/>
    <x v="2"/>
    <x v="0"/>
    <n v="250"/>
    <x v="2"/>
    <n v="2"/>
    <n v="0.14635193252367351"/>
    <n v="500"/>
    <n v="426.82403373816322"/>
    <x v="2"/>
  </r>
  <r>
    <s v="PBOR00302"/>
    <s v="PIZB0003"/>
    <x v="12"/>
    <x v="3"/>
    <x v="1"/>
    <n v="130"/>
    <x v="0"/>
    <n v="5"/>
    <n v="0.49930216593502397"/>
    <n v="650"/>
    <n v="325.45359214223441"/>
    <x v="4"/>
  </r>
  <r>
    <s v="PBOR00303"/>
    <s v="PIZB0004"/>
    <x v="0"/>
    <x v="0"/>
    <x v="0"/>
    <n v="72"/>
    <x v="1"/>
    <n v="4"/>
    <n v="0.16760369217058779"/>
    <n v="288"/>
    <n v="239.73013665487071"/>
    <x v="0"/>
  </r>
  <r>
    <s v="PBOR00304"/>
    <s v="PIZB0001"/>
    <x v="38"/>
    <x v="1"/>
    <x v="1"/>
    <n v="65"/>
    <x v="2"/>
    <n v="13"/>
    <n v="0.57040391639924315"/>
    <n v="845"/>
    <n v="363.00869064263952"/>
    <x v="3"/>
  </r>
  <r>
    <s v="PBOR00305"/>
    <s v="PIZB0002"/>
    <x v="1"/>
    <x v="2"/>
    <x v="1"/>
    <n v="250"/>
    <x v="0"/>
    <n v="2"/>
    <n v="0.35240472893682595"/>
    <n v="500"/>
    <n v="323.79763553158705"/>
    <x v="1"/>
  </r>
  <r>
    <s v="PBOR00306"/>
    <s v="PIZB0003"/>
    <x v="2"/>
    <x v="3"/>
    <x v="1"/>
    <n v="130"/>
    <x v="1"/>
    <n v="3"/>
    <n v="0.11208092156242278"/>
    <n v="390"/>
    <n v="346.28844059065511"/>
    <x v="2"/>
  </r>
  <r>
    <s v="PBOR00307"/>
    <s v="PIZB0004"/>
    <x v="5"/>
    <x v="4"/>
    <x v="1"/>
    <n v="60"/>
    <x v="2"/>
    <n v="10"/>
    <n v="0.57839134647100132"/>
    <n v="600"/>
    <n v="252.9651921173992"/>
    <x v="2"/>
  </r>
  <r>
    <s v="PBOR00308"/>
    <s v="PIZB0005"/>
    <x v="3"/>
    <x v="0"/>
    <x v="1"/>
    <n v="72"/>
    <x v="0"/>
    <n v="9"/>
    <n v="0.18785567306752626"/>
    <n v="648"/>
    <n v="526.26952385224297"/>
    <x v="3"/>
  </r>
  <r>
    <s v="PBOR00309"/>
    <s v="PIZB0001"/>
    <x v="36"/>
    <x v="1"/>
    <x v="0"/>
    <n v="65"/>
    <x v="1"/>
    <n v="8"/>
    <n v="0.69234786906479862"/>
    <n v="520"/>
    <n v="159.97910808630473"/>
    <x v="1"/>
  </r>
  <r>
    <s v="PBOR00310"/>
    <s v="PIZB0002"/>
    <x v="24"/>
    <x v="2"/>
    <x v="1"/>
    <n v="250"/>
    <x v="2"/>
    <n v="3"/>
    <n v="0.7313105471637672"/>
    <n v="750"/>
    <n v="201.51708962717461"/>
    <x v="1"/>
  </r>
  <r>
    <s v="PBOR00311"/>
    <s v="PIZB0003"/>
    <x v="21"/>
    <x v="3"/>
    <x v="0"/>
    <n v="130"/>
    <x v="0"/>
    <n v="3"/>
    <n v="0.39651294953245186"/>
    <n v="390"/>
    <n v="235.35994968234377"/>
    <x v="0"/>
  </r>
  <r>
    <s v="PBOR00312"/>
    <s v="PIZB0004"/>
    <x v="32"/>
    <x v="0"/>
    <x v="1"/>
    <n v="72"/>
    <x v="1"/>
    <n v="5"/>
    <n v="0.47053293956185105"/>
    <n v="360"/>
    <n v="190.60814175773362"/>
    <x v="6"/>
  </r>
  <r>
    <s v="PBOR00313"/>
    <s v="PIZB0001"/>
    <x v="4"/>
    <x v="1"/>
    <x v="0"/>
    <n v="65"/>
    <x v="2"/>
    <n v="9"/>
    <n v="0.9022424845836422"/>
    <n v="585"/>
    <n v="57.188146518569312"/>
    <x v="4"/>
  </r>
  <r>
    <s v="PBOR00314"/>
    <s v="PIZB0002"/>
    <x v="2"/>
    <x v="2"/>
    <x v="1"/>
    <n v="250"/>
    <x v="0"/>
    <n v="1"/>
    <n v="0.25057968884738369"/>
    <n v="250"/>
    <n v="187.35507778815409"/>
    <x v="2"/>
  </r>
  <r>
    <s v="PBOR00315"/>
    <s v="PIZB0003"/>
    <x v="27"/>
    <x v="3"/>
    <x v="0"/>
    <n v="130"/>
    <x v="1"/>
    <n v="4"/>
    <n v="0.56892266919679113"/>
    <n v="520"/>
    <n v="224.16021201766861"/>
    <x v="0"/>
  </r>
  <r>
    <s v="PBOR00316"/>
    <s v="PIZB0004"/>
    <x v="0"/>
    <x v="4"/>
    <x v="1"/>
    <n v="60"/>
    <x v="2"/>
    <n v="6"/>
    <n v="3.357106137416721E-2"/>
    <n v="360"/>
    <n v="347.91441790529979"/>
    <x v="0"/>
  </r>
  <r>
    <s v="PBOR00317"/>
    <s v="PIZB0005"/>
    <x v="1"/>
    <x v="5"/>
    <x v="0"/>
    <n v="95"/>
    <x v="0"/>
    <n v="4"/>
    <n v="0.11797039324964398"/>
    <n v="380"/>
    <n v="335.17125056513527"/>
    <x v="1"/>
  </r>
  <r>
    <s v="PBOR00318"/>
    <s v="PIZB0006"/>
    <x v="28"/>
    <x v="0"/>
    <x v="1"/>
    <n v="72"/>
    <x v="1"/>
    <n v="8"/>
    <n v="2.8176385964748696E-2"/>
    <n v="576"/>
    <n v="559.77040168430472"/>
    <x v="2"/>
  </r>
  <r>
    <s v="PBOR00319"/>
    <s v="PIZB0001"/>
    <x v="8"/>
    <x v="1"/>
    <x v="0"/>
    <n v="65"/>
    <x v="2"/>
    <n v="8"/>
    <n v="0.66941136725758887"/>
    <n v="520"/>
    <n v="171.90608902605379"/>
    <x v="6"/>
  </r>
  <r>
    <s v="PBOR00320"/>
    <s v="PIZB0002"/>
    <x v="33"/>
    <x v="2"/>
    <x v="1"/>
    <n v="250"/>
    <x v="0"/>
    <n v="2"/>
    <n v="0.36448172495541775"/>
    <n v="500"/>
    <n v="317.7591375222911"/>
    <x v="4"/>
  </r>
  <r>
    <s v="PBOR00321"/>
    <s v="PIZB0003"/>
    <x v="14"/>
    <x v="3"/>
    <x v="0"/>
    <n v="130"/>
    <x v="1"/>
    <n v="7"/>
    <n v="0.15416488306079768"/>
    <n v="910"/>
    <n v="769.70995641467414"/>
    <x v="1"/>
  </r>
  <r>
    <s v="PBOR00322"/>
    <s v="PIZB0004"/>
    <x v="16"/>
    <x v="0"/>
    <x v="1"/>
    <n v="72"/>
    <x v="2"/>
    <n v="7"/>
    <n v="0.66646609625242947"/>
    <n v="504"/>
    <n v="168.10108748877553"/>
    <x v="0"/>
  </r>
  <r>
    <s v="PBOR00323"/>
    <s v="PIZB0001"/>
    <x v="17"/>
    <x v="1"/>
    <x v="0"/>
    <n v="65"/>
    <x v="0"/>
    <n v="4"/>
    <n v="0.69183752034253276"/>
    <n v="260"/>
    <n v="80.122244710941487"/>
    <x v="2"/>
  </r>
  <r>
    <s v="PBOR00324"/>
    <s v="PIZB0002"/>
    <x v="17"/>
    <x v="2"/>
    <x v="1"/>
    <n v="250"/>
    <x v="1"/>
    <n v="2"/>
    <n v="0.14649599591234685"/>
    <n v="500"/>
    <n v="426.75200204382656"/>
    <x v="2"/>
  </r>
  <r>
    <s v="PBOR00325"/>
    <s v="PIZB0003"/>
    <x v="5"/>
    <x v="3"/>
    <x v="0"/>
    <n v="130"/>
    <x v="2"/>
    <n v="2"/>
    <n v="0.98540635482364014"/>
    <n v="260"/>
    <n v="3.7943477458535635"/>
    <x v="2"/>
  </r>
  <r>
    <s v="PBOR00326"/>
    <s v="PIZB0004"/>
    <x v="16"/>
    <x v="0"/>
    <x v="1"/>
    <n v="72"/>
    <x v="0"/>
    <n v="9"/>
    <n v="0.32091320735788698"/>
    <n v="648"/>
    <n v="440.04824163208923"/>
    <x v="0"/>
  </r>
  <r>
    <s v="PBOR00327"/>
    <s v="PIZB0001"/>
    <x v="1"/>
    <x v="1"/>
    <x v="1"/>
    <n v="65"/>
    <x v="0"/>
    <n v="9"/>
    <n v="0.94495394109275654"/>
    <n v="585"/>
    <n v="32.201944460737423"/>
    <x v="1"/>
  </r>
  <r>
    <s v="PBOR00328"/>
    <s v="PIZB0002"/>
    <x v="18"/>
    <x v="2"/>
    <x v="1"/>
    <n v="250"/>
    <x v="1"/>
    <n v="2"/>
    <n v="0.50906748027199666"/>
    <n v="500"/>
    <n v="245.46625986400167"/>
    <x v="5"/>
  </r>
  <r>
    <s v="PBOR00329"/>
    <s v="PIZB0003"/>
    <x v="3"/>
    <x v="3"/>
    <x v="1"/>
    <n v="130"/>
    <x v="2"/>
    <n v="4"/>
    <n v="0.66059053266706258"/>
    <n v="520"/>
    <n v="176.49292301312747"/>
    <x v="3"/>
  </r>
  <r>
    <s v="PBOR00330"/>
    <s v="PIZB0004"/>
    <x v="19"/>
    <x v="0"/>
    <x v="1"/>
    <n v="72"/>
    <x v="0"/>
    <n v="8"/>
    <n v="0.89615601403703116"/>
    <n v="576"/>
    <n v="59.814135914670054"/>
    <x v="5"/>
  </r>
  <r>
    <s v="PBOR00331"/>
    <s v="PIZB0001"/>
    <x v="20"/>
    <x v="1"/>
    <x v="0"/>
    <n v="65"/>
    <x v="1"/>
    <n v="8"/>
    <n v="0.133950017527805"/>
    <n v="520"/>
    <n v="450.34599088554143"/>
    <x v="6"/>
  </r>
  <r>
    <s v="PBOR00332"/>
    <s v="PIZB0002"/>
    <x v="21"/>
    <x v="2"/>
    <x v="1"/>
    <n v="250"/>
    <x v="2"/>
    <n v="4"/>
    <n v="0.3823797297998468"/>
    <n v="1000"/>
    <n v="617.62027020015319"/>
    <x v="0"/>
  </r>
  <r>
    <s v="PBOR00333"/>
    <s v="PIZB0003"/>
    <x v="22"/>
    <x v="3"/>
    <x v="0"/>
    <n v="130"/>
    <x v="0"/>
    <n v="2"/>
    <n v="0.15073825601342095"/>
    <n v="260"/>
    <n v="220.80805343651056"/>
    <x v="5"/>
  </r>
  <r>
    <s v="PBOR00334"/>
    <s v="PIZB0004"/>
    <x v="23"/>
    <x v="4"/>
    <x v="1"/>
    <n v="60"/>
    <x v="1"/>
    <n v="10"/>
    <n v="0.96395128247903139"/>
    <n v="600"/>
    <n v="21.629230512581167"/>
    <x v="4"/>
  </r>
  <r>
    <s v="PBOR00335"/>
    <s v="PIZB0005"/>
    <x v="24"/>
    <x v="0"/>
    <x v="0"/>
    <n v="72"/>
    <x v="2"/>
    <n v="5"/>
    <n v="0.93894083705684528"/>
    <n v="360"/>
    <n v="21.9812986595357"/>
    <x v="1"/>
  </r>
  <r>
    <s v="PBOR00336"/>
    <s v="PIZB0001"/>
    <x v="16"/>
    <x v="1"/>
    <x v="1"/>
    <n v="65"/>
    <x v="0"/>
    <n v="7"/>
    <n v="0.90335270578489546"/>
    <n v="455"/>
    <n v="43.974518867872568"/>
    <x v="0"/>
  </r>
  <r>
    <s v="PBOR00337"/>
    <s v="PIZB0002"/>
    <x v="25"/>
    <x v="2"/>
    <x v="0"/>
    <n v="250"/>
    <x v="1"/>
    <n v="2"/>
    <n v="0.62209777321995885"/>
    <n v="500"/>
    <n v="188.95111339002057"/>
    <x v="6"/>
  </r>
  <r>
    <s v="PBOR00338"/>
    <s v="PIZB0003"/>
    <x v="6"/>
    <x v="3"/>
    <x v="1"/>
    <n v="130"/>
    <x v="2"/>
    <n v="5"/>
    <n v="6.1676790443396468E-2"/>
    <n v="650"/>
    <n v="609.9100862117923"/>
    <x v="0"/>
  </r>
  <r>
    <s v="PBOR00339"/>
    <s v="PIZB0004"/>
    <x v="2"/>
    <x v="0"/>
    <x v="0"/>
    <n v="72"/>
    <x v="0"/>
    <n v="12"/>
    <n v="0.49213521317421138"/>
    <n v="864"/>
    <n v="438.79517581748138"/>
    <x v="2"/>
  </r>
  <r>
    <s v="PBOR00340"/>
    <s v="PIZB0001"/>
    <x v="26"/>
    <x v="1"/>
    <x v="1"/>
    <n v="65"/>
    <x v="1"/>
    <n v="9"/>
    <n v="0.69552711985994919"/>
    <n v="585"/>
    <n v="178.11663488192971"/>
    <x v="1"/>
  </r>
  <r>
    <s v="PBOR00341"/>
    <s v="PIZB0002"/>
    <x v="4"/>
    <x v="2"/>
    <x v="0"/>
    <n v="250"/>
    <x v="2"/>
    <n v="4"/>
    <n v="0.54528907278354111"/>
    <n v="1000"/>
    <n v="454.71092721645891"/>
    <x v="4"/>
  </r>
  <r>
    <s v="PBOR00342"/>
    <s v="PIZB0003"/>
    <x v="27"/>
    <x v="3"/>
    <x v="1"/>
    <n v="130"/>
    <x v="0"/>
    <n v="4"/>
    <n v="0.35199536538224718"/>
    <n v="520"/>
    <n v="336.96241000123149"/>
    <x v="0"/>
  </r>
  <r>
    <s v="PBOR00343"/>
    <s v="PIZB0004"/>
    <x v="15"/>
    <x v="4"/>
    <x v="0"/>
    <n v="60"/>
    <x v="1"/>
    <n v="6"/>
    <n v="6.0292533629099143E-2"/>
    <n v="360"/>
    <n v="338.29468789352433"/>
    <x v="0"/>
  </r>
  <r>
    <s v="PBOR00344"/>
    <s v="PIZB0005"/>
    <x v="28"/>
    <x v="5"/>
    <x v="1"/>
    <n v="95"/>
    <x v="2"/>
    <n v="7"/>
    <n v="4.1434457281700587E-2"/>
    <n v="665"/>
    <n v="637.44608590766916"/>
    <x v="2"/>
  </r>
  <r>
    <s v="PBOR00345"/>
    <s v="PIZB0006"/>
    <x v="8"/>
    <x v="0"/>
    <x v="0"/>
    <n v="72"/>
    <x v="0"/>
    <n v="3"/>
    <n v="0.29516274884520199"/>
    <n v="216"/>
    <n v="152.24484624943636"/>
    <x v="6"/>
  </r>
  <r>
    <s v="PBOR00346"/>
    <s v="PIZB0001"/>
    <x v="6"/>
    <x v="1"/>
    <x v="1"/>
    <n v="65"/>
    <x v="1"/>
    <n v="4"/>
    <n v="0.68154294540119276"/>
    <n v="260"/>
    <n v="82.798834195689878"/>
    <x v="0"/>
  </r>
  <r>
    <s v="PBOR00347"/>
    <s v="PIZB0002"/>
    <x v="27"/>
    <x v="2"/>
    <x v="0"/>
    <n v="250"/>
    <x v="2"/>
    <n v="1"/>
    <n v="0.52632346520297391"/>
    <n v="250"/>
    <n v="118.41913369925652"/>
    <x v="0"/>
  </r>
  <r>
    <s v="PBOR00348"/>
    <s v="PIZB0003"/>
    <x v="10"/>
    <x v="3"/>
    <x v="1"/>
    <n v="130"/>
    <x v="0"/>
    <n v="6"/>
    <n v="5.4437687903536869E-2"/>
    <n v="780"/>
    <n v="737.53860343524127"/>
    <x v="6"/>
  </r>
  <r>
    <s v="PBOR00349"/>
    <s v="PIZB0004"/>
    <x v="29"/>
    <x v="0"/>
    <x v="1"/>
    <n v="72"/>
    <x v="1"/>
    <n v="10"/>
    <n v="0.95350738842174898"/>
    <n v="720"/>
    <n v="33.474680336340732"/>
    <x v="2"/>
  </r>
  <r>
    <s v="PBOR00350"/>
    <s v="PIZB0001"/>
    <x v="30"/>
    <x v="1"/>
    <x v="1"/>
    <n v="65"/>
    <x v="2"/>
    <n v="4"/>
    <n v="0.46726651348176196"/>
    <n v="260"/>
    <n v="138.5107064947419"/>
    <x v="4"/>
  </r>
  <r>
    <s v="PBOR00351"/>
    <s v="PIZB0002"/>
    <x v="31"/>
    <x v="2"/>
    <x v="1"/>
    <n v="250"/>
    <x v="0"/>
    <n v="2"/>
    <n v="0.6015089815611987"/>
    <n v="500"/>
    <n v="199.24550921940065"/>
    <x v="3"/>
  </r>
  <r>
    <s v="PBOR00352"/>
    <s v="PIZB0003"/>
    <x v="27"/>
    <x v="3"/>
    <x v="1"/>
    <n v="130"/>
    <x v="1"/>
    <n v="7"/>
    <n v="0.17158764742187849"/>
    <n v="910"/>
    <n v="753.85524084609062"/>
    <x v="0"/>
  </r>
  <r>
    <s v="PBOR00353"/>
    <s v="PIZB0004"/>
    <x v="29"/>
    <x v="4"/>
    <x v="0"/>
    <n v="60"/>
    <x v="2"/>
    <n v="11"/>
    <n v="0.44731050880102885"/>
    <n v="660"/>
    <n v="364.77506419132095"/>
    <x v="2"/>
  </r>
  <r>
    <s v="PBOR00354"/>
    <s v="PIZB0005"/>
    <x v="1"/>
    <x v="0"/>
    <x v="1"/>
    <n v="72"/>
    <x v="0"/>
    <n v="8"/>
    <n v="0.54246953050958213"/>
    <n v="576"/>
    <n v="263.53755042648072"/>
    <x v="1"/>
  </r>
  <r>
    <s v="PBOR00355"/>
    <s v="PIZB0001"/>
    <x v="11"/>
    <x v="1"/>
    <x v="0"/>
    <n v="65"/>
    <x v="1"/>
    <n v="11"/>
    <n v="0.50484804947298401"/>
    <n v="715"/>
    <n v="354.03364462681645"/>
    <x v="5"/>
  </r>
  <r>
    <s v="PBOR00356"/>
    <s v="PIZB0002"/>
    <x v="5"/>
    <x v="2"/>
    <x v="1"/>
    <n v="250"/>
    <x v="2"/>
    <n v="4"/>
    <n v="9.2316747421295475E-2"/>
    <n v="1000"/>
    <n v="907.68325257870447"/>
    <x v="2"/>
  </r>
  <r>
    <s v="PBOR00357"/>
    <s v="PIZB0003"/>
    <x v="2"/>
    <x v="3"/>
    <x v="0"/>
    <n v="130"/>
    <x v="0"/>
    <n v="7"/>
    <n v="0.34907542272706216"/>
    <n v="910"/>
    <n v="592.34136531837339"/>
    <x v="2"/>
  </r>
  <r>
    <s v="PBOR00358"/>
    <s v="PIZB0004"/>
    <x v="31"/>
    <x v="0"/>
    <x v="1"/>
    <n v="72"/>
    <x v="1"/>
    <n v="4"/>
    <n v="0.90031823580716619"/>
    <n v="288"/>
    <n v="28.708348087536137"/>
    <x v="3"/>
  </r>
  <r>
    <s v="PBOR00359"/>
    <s v="PIZB0001"/>
    <x v="3"/>
    <x v="1"/>
    <x v="0"/>
    <n v="65"/>
    <x v="2"/>
    <n v="5"/>
    <n v="0.18050692795462731"/>
    <n v="325"/>
    <n v="266.3352484147461"/>
    <x v="3"/>
  </r>
  <r>
    <s v="PBOR00360"/>
    <s v="PIZB0002"/>
    <x v="25"/>
    <x v="2"/>
    <x v="1"/>
    <n v="250"/>
    <x v="0"/>
    <n v="1"/>
    <n v="2.5445092820001292E-2"/>
    <n v="250"/>
    <n v="243.63872679499968"/>
    <x v="6"/>
  </r>
  <r>
    <s v="PBOR00361"/>
    <s v="PIZB0003"/>
    <x v="7"/>
    <x v="3"/>
    <x v="0"/>
    <n v="130"/>
    <x v="1"/>
    <n v="2"/>
    <n v="0.79643741142705549"/>
    <n v="260"/>
    <n v="52.926273028965575"/>
    <x v="5"/>
  </r>
  <r>
    <s v="PBOR00362"/>
    <s v="PIZB0004"/>
    <x v="25"/>
    <x v="4"/>
    <x v="1"/>
    <n v="60"/>
    <x v="2"/>
    <n v="14"/>
    <n v="0.16077213359827813"/>
    <n v="840"/>
    <n v="704.95140777744632"/>
    <x v="6"/>
  </r>
  <r>
    <s v="PBOR00363"/>
    <s v="PIZB0005"/>
    <x v="32"/>
    <x v="5"/>
    <x v="0"/>
    <n v="95"/>
    <x v="0"/>
    <n v="9"/>
    <n v="0.24693836978869843"/>
    <n v="855"/>
    <n v="643.8676938306628"/>
    <x v="6"/>
  </r>
  <r>
    <s v="PBOR00364"/>
    <s v="PIZB0006"/>
    <x v="33"/>
    <x v="0"/>
    <x v="1"/>
    <n v="72"/>
    <x v="1"/>
    <n v="8"/>
    <n v="0.22148207946738752"/>
    <n v="576"/>
    <n v="448.42632222678481"/>
    <x v="4"/>
  </r>
  <r>
    <s v="PBOR00365"/>
    <s v="PIZB0001"/>
    <x v="33"/>
    <x v="1"/>
    <x v="0"/>
    <n v="65"/>
    <x v="2"/>
    <n v="11"/>
    <n v="0.71458846230959472"/>
    <n v="715"/>
    <n v="204.06924944863977"/>
    <x v="4"/>
  </r>
  <r>
    <s v="PBOR00366"/>
    <s v="PIZB0002"/>
    <x v="22"/>
    <x v="2"/>
    <x v="1"/>
    <n v="250"/>
    <x v="0"/>
    <n v="4"/>
    <n v="0.11286694488931481"/>
    <n v="1000"/>
    <n v="887.13305511068518"/>
    <x v="5"/>
  </r>
  <r>
    <s v="PBOR00367"/>
    <s v="PIZB0003"/>
    <x v="34"/>
    <x v="3"/>
    <x v="0"/>
    <n v="130"/>
    <x v="1"/>
    <n v="6"/>
    <n v="6.5283590828819849E-2"/>
    <n v="780"/>
    <n v="729.07879915352055"/>
    <x v="3"/>
  </r>
  <r>
    <s v="PBOR00368"/>
    <s v="PIZB0004"/>
    <x v="7"/>
    <x v="0"/>
    <x v="1"/>
    <n v="72"/>
    <x v="2"/>
    <n v="11"/>
    <n v="0.46681751998353072"/>
    <n v="792"/>
    <n v="422.28052417304366"/>
    <x v="5"/>
  </r>
  <r>
    <s v="PBOR00369"/>
    <s v="PIZB0001"/>
    <x v="3"/>
    <x v="1"/>
    <x v="0"/>
    <n v="65"/>
    <x v="0"/>
    <n v="9"/>
    <n v="0.92202770154223668"/>
    <n v="585"/>
    <n v="45.613794597791546"/>
    <x v="3"/>
  </r>
  <r>
    <s v="PBOR00370"/>
    <s v="PIZB0002"/>
    <x v="31"/>
    <x v="2"/>
    <x v="1"/>
    <n v="250"/>
    <x v="1"/>
    <n v="2"/>
    <n v="0.18840485753727232"/>
    <n v="500"/>
    <n v="405.79757123136386"/>
    <x v="3"/>
  </r>
  <r>
    <s v="PBOR00371"/>
    <s v="PIZB0003"/>
    <x v="4"/>
    <x v="3"/>
    <x v="1"/>
    <n v="130"/>
    <x v="2"/>
    <n v="2"/>
    <n v="0.27847072137209206"/>
    <n v="260"/>
    <n v="187.59761244325605"/>
    <x v="4"/>
  </r>
  <r>
    <s v="PBOR00372"/>
    <s v="PIZB0001"/>
    <x v="34"/>
    <x v="0"/>
    <x v="1"/>
    <n v="72"/>
    <x v="0"/>
    <n v="10"/>
    <n v="0.78884251376405168"/>
    <n v="720"/>
    <n v="152.0333900898828"/>
    <x v="3"/>
  </r>
  <r>
    <s v="PBOR00373"/>
    <s v="PIZB0002"/>
    <x v="13"/>
    <x v="1"/>
    <x v="1"/>
    <n v="65"/>
    <x v="0"/>
    <n v="5"/>
    <n v="0.18299168548896383"/>
    <n v="325"/>
    <n v="265.52770221608677"/>
    <x v="1"/>
  </r>
  <r>
    <s v="PBOR00374"/>
    <s v="PIZB0003"/>
    <x v="35"/>
    <x v="2"/>
    <x v="1"/>
    <n v="250"/>
    <x v="1"/>
    <n v="3"/>
    <n v="0.20591715888096995"/>
    <n v="750"/>
    <n v="595.56213083927253"/>
    <x v="4"/>
  </r>
  <r>
    <s v="PBOR00375"/>
    <s v="PIZB0004"/>
    <x v="2"/>
    <x v="3"/>
    <x v="0"/>
    <n v="130"/>
    <x v="2"/>
    <n v="2"/>
    <n v="2.128339836887938E-2"/>
    <n v="260"/>
    <n v="254.46631642409136"/>
    <x v="2"/>
  </r>
  <r>
    <s v="PBOR00376"/>
    <s v="PIZB0001"/>
    <x v="13"/>
    <x v="0"/>
    <x v="1"/>
    <n v="72"/>
    <x v="0"/>
    <n v="4"/>
    <n v="2.2806889019524657E-2"/>
    <n v="288"/>
    <n v="281.4316159623769"/>
    <x v="1"/>
  </r>
  <r>
    <s v="PBOR00377"/>
    <s v="PIZB0002"/>
    <x v="18"/>
    <x v="1"/>
    <x v="0"/>
    <n v="65"/>
    <x v="1"/>
    <n v="6"/>
    <n v="0.66448214030499053"/>
    <n v="390"/>
    <n v="130.85196528105368"/>
    <x v="5"/>
  </r>
  <r>
    <s v="PBOR00378"/>
    <s v="PIZB0003"/>
    <x v="23"/>
    <x v="2"/>
    <x v="1"/>
    <n v="250"/>
    <x v="2"/>
    <n v="3"/>
    <n v="0.29151955249280481"/>
    <n v="750"/>
    <n v="531.36033563039643"/>
    <x v="4"/>
  </r>
  <r>
    <s v="PBOR00379"/>
    <s v="PIZB0004"/>
    <x v="36"/>
    <x v="3"/>
    <x v="0"/>
    <n v="130"/>
    <x v="0"/>
    <n v="5"/>
    <n v="0.55684098110336311"/>
    <n v="650"/>
    <n v="288.05336228281396"/>
    <x v="1"/>
  </r>
  <r>
    <s v="PBOR00380"/>
    <s v="PIZB0005"/>
    <x v="37"/>
    <x v="4"/>
    <x v="1"/>
    <n v="60"/>
    <x v="1"/>
    <n v="14"/>
    <n v="0.57240542144015649"/>
    <n v="840"/>
    <n v="359.17944599026856"/>
    <x v="5"/>
  </r>
  <r>
    <s v="PBOR00381"/>
    <s v="PIZB0001"/>
    <x v="4"/>
    <x v="0"/>
    <x v="0"/>
    <n v="72"/>
    <x v="2"/>
    <n v="3"/>
    <n v="8.6221643115211744E-2"/>
    <n v="216"/>
    <n v="197.37612508711427"/>
    <x v="4"/>
  </r>
  <r>
    <s v="PBOR00382"/>
    <s v="PIZB0002"/>
    <x v="3"/>
    <x v="1"/>
    <x v="1"/>
    <n v="65"/>
    <x v="0"/>
    <n v="10"/>
    <n v="0.95609718609661631"/>
    <n v="650"/>
    <n v="28.536829037199396"/>
    <x v="3"/>
  </r>
  <r>
    <s v="PBOR00383"/>
    <s v="PIZB0003"/>
    <x v="35"/>
    <x v="2"/>
    <x v="0"/>
    <n v="250"/>
    <x v="1"/>
    <n v="2"/>
    <n v="0.2455223768222089"/>
    <n v="500"/>
    <n v="377.23881158889554"/>
    <x v="4"/>
  </r>
  <r>
    <s v="PBOR00384"/>
    <s v="PIZB0004"/>
    <x v="11"/>
    <x v="3"/>
    <x v="1"/>
    <n v="130"/>
    <x v="2"/>
    <n v="7"/>
    <n v="0.56637632681080741"/>
    <n v="910"/>
    <n v="394.59754260216528"/>
    <x v="5"/>
  </r>
  <r>
    <s v="PBOR00385"/>
    <s v="PIZB0001"/>
    <x v="10"/>
    <x v="0"/>
    <x v="0"/>
    <n v="72"/>
    <x v="0"/>
    <n v="11"/>
    <n v="4.5179835219914199E-2"/>
    <n v="792"/>
    <n v="756.21757050582801"/>
    <x v="6"/>
  </r>
  <r>
    <s v="PBOR00386"/>
    <s v="PIZB0002"/>
    <x v="1"/>
    <x v="1"/>
    <x v="1"/>
    <n v="65"/>
    <x v="1"/>
    <n v="13"/>
    <n v="0.97345529924354934"/>
    <n v="845"/>
    <n v="22.430272139200806"/>
    <x v="1"/>
  </r>
  <r>
    <s v="PBOR00387"/>
    <s v="PIZB0003"/>
    <x v="17"/>
    <x v="2"/>
    <x v="0"/>
    <n v="250"/>
    <x v="2"/>
    <n v="3"/>
    <n v="0.56733394419124217"/>
    <n v="750"/>
    <n v="324.49954185656838"/>
    <x v="2"/>
  </r>
  <r>
    <s v="PBOR00388"/>
    <s v="PIZB0004"/>
    <x v="17"/>
    <x v="3"/>
    <x v="1"/>
    <n v="130"/>
    <x v="0"/>
    <n v="6"/>
    <n v="0.37928431149731212"/>
    <n v="780"/>
    <n v="484.15823703209657"/>
    <x v="2"/>
  </r>
  <r>
    <s v="PBOR00389"/>
    <s v="PIZB0005"/>
    <x v="37"/>
    <x v="4"/>
    <x v="0"/>
    <n v="60"/>
    <x v="1"/>
    <n v="15"/>
    <n v="0.62865911330533553"/>
    <n v="900"/>
    <n v="334.20679802519805"/>
    <x v="5"/>
  </r>
  <r>
    <s v="PBOR00390"/>
    <s v="PIZB0006"/>
    <x v="4"/>
    <x v="5"/>
    <x v="1"/>
    <n v="95"/>
    <x v="2"/>
    <n v="6"/>
    <n v="0.37937934610324464"/>
    <n v="570"/>
    <n v="353.75377272115054"/>
    <x v="4"/>
  </r>
  <r>
    <s v="PBOR00391"/>
    <s v="PIZB0001"/>
    <x v="2"/>
    <x v="0"/>
    <x v="0"/>
    <n v="72"/>
    <x v="0"/>
    <n v="11"/>
    <n v="0.35891515866951118"/>
    <n v="792"/>
    <n v="507.73919433374715"/>
    <x v="2"/>
  </r>
  <r>
    <s v="PBOR00392"/>
    <s v="PIZB0002"/>
    <x v="12"/>
    <x v="1"/>
    <x v="1"/>
    <n v="65"/>
    <x v="1"/>
    <n v="13"/>
    <n v="0.90122352916020354"/>
    <n v="845"/>
    <n v="83.466117859628014"/>
    <x v="4"/>
  </r>
  <r>
    <s v="PBOR00393"/>
    <s v="PIZB0003"/>
    <x v="0"/>
    <x v="2"/>
    <x v="1"/>
    <n v="250"/>
    <x v="2"/>
    <n v="3"/>
    <n v="0.37786597877728811"/>
    <n v="750"/>
    <n v="466.60051591703393"/>
    <x v="0"/>
  </r>
  <r>
    <s v="PBOR00394"/>
    <s v="PIZB0004"/>
    <x v="38"/>
    <x v="3"/>
    <x v="1"/>
    <n v="130"/>
    <x v="0"/>
    <n v="3"/>
    <n v="0.38913445453338702"/>
    <n v="390"/>
    <n v="238.23756273197907"/>
    <x v="3"/>
  </r>
  <r>
    <s v="PBOR00395"/>
    <s v="PIZB0001"/>
    <x v="1"/>
    <x v="0"/>
    <x v="1"/>
    <n v="72"/>
    <x v="1"/>
    <n v="12"/>
    <n v="0.60714667724340543"/>
    <n v="864"/>
    <n v="339.4252708616977"/>
    <x v="1"/>
  </r>
  <r>
    <s v="PBOR00396"/>
    <s v="PIZB0002"/>
    <x v="2"/>
    <x v="1"/>
    <x v="1"/>
    <n v="65"/>
    <x v="2"/>
    <n v="8"/>
    <n v="0.17261163513710231"/>
    <n v="520"/>
    <n v="430.2419497287068"/>
    <x v="2"/>
  </r>
  <r>
    <s v="PBOR00397"/>
    <s v="PIZB0003"/>
    <x v="5"/>
    <x v="2"/>
    <x v="0"/>
    <n v="250"/>
    <x v="0"/>
    <n v="1"/>
    <n v="3.4451566476951467E-2"/>
    <n v="250"/>
    <n v="241.38710838076213"/>
    <x v="2"/>
  </r>
  <r>
    <s v="PBOR00398"/>
    <s v="PIZB0004"/>
    <x v="3"/>
    <x v="3"/>
    <x v="1"/>
    <n v="130"/>
    <x v="1"/>
    <n v="4"/>
    <n v="0.36600821552214791"/>
    <n v="520"/>
    <n v="329.67572792848307"/>
    <x v="3"/>
  </r>
  <r>
    <s v="PBOR00399"/>
    <s v="PIZB0005"/>
    <x v="36"/>
    <x v="4"/>
    <x v="0"/>
    <n v="60"/>
    <x v="2"/>
    <n v="4"/>
    <n v="0.36876304797324455"/>
    <n v="240"/>
    <n v="151.49686848642131"/>
    <x v="1"/>
  </r>
  <r>
    <s v="PBOR00400"/>
    <s v="PIZB0001"/>
    <x v="24"/>
    <x v="0"/>
    <x v="1"/>
    <n v="72"/>
    <x v="0"/>
    <n v="12"/>
    <n v="0.78491525862060318"/>
    <n v="864"/>
    <n v="185.83321655179884"/>
    <x v="1"/>
  </r>
  <r>
    <s v="PBOR00401"/>
    <s v="PIZB0002"/>
    <x v="21"/>
    <x v="1"/>
    <x v="0"/>
    <n v="65"/>
    <x v="1"/>
    <n v="4"/>
    <n v="0.89433154555842931"/>
    <n v="260"/>
    <n v="27.473798154808378"/>
    <x v="0"/>
  </r>
  <r>
    <s v="PBOR00402"/>
    <s v="PIZB0003"/>
    <x v="32"/>
    <x v="2"/>
    <x v="1"/>
    <n v="250"/>
    <x v="2"/>
    <n v="1"/>
    <n v="0.54494310667938251"/>
    <n v="250"/>
    <n v="113.76422333015438"/>
    <x v="6"/>
  </r>
  <r>
    <s v="PBOR00403"/>
    <s v="PIZB0004"/>
    <x v="4"/>
    <x v="3"/>
    <x v="0"/>
    <n v="130"/>
    <x v="0"/>
    <n v="7"/>
    <n v="0.84443209424513666"/>
    <n v="910"/>
    <n v="141.56679423692563"/>
    <x v="4"/>
  </r>
  <r>
    <s v="PBOR00404"/>
    <s v="PIZB0001"/>
    <x v="2"/>
    <x v="0"/>
    <x v="1"/>
    <n v="72"/>
    <x v="1"/>
    <n v="7"/>
    <n v="0.11084077878058052"/>
    <n v="504"/>
    <n v="448.13624749458739"/>
    <x v="2"/>
  </r>
  <r>
    <s v="PBOR00405"/>
    <s v="PIZB0002"/>
    <x v="27"/>
    <x v="1"/>
    <x v="0"/>
    <n v="65"/>
    <x v="2"/>
    <n v="9"/>
    <n v="0.26630312920291821"/>
    <n v="585"/>
    <n v="429.21266941629284"/>
    <x v="0"/>
  </r>
  <r>
    <s v="PBOR00406"/>
    <s v="PIZB0003"/>
    <x v="0"/>
    <x v="2"/>
    <x v="1"/>
    <n v="250"/>
    <x v="0"/>
    <n v="3"/>
    <n v="0.13279161787420113"/>
    <n v="750"/>
    <n v="650.40628659434913"/>
    <x v="0"/>
  </r>
  <r>
    <s v="PBOR00407"/>
    <s v="PIZB0004"/>
    <x v="1"/>
    <x v="3"/>
    <x v="0"/>
    <n v="130"/>
    <x v="1"/>
    <n v="4"/>
    <n v="0.20794478004129135"/>
    <n v="520"/>
    <n v="411.86871437852852"/>
    <x v="1"/>
  </r>
  <r>
    <s v="PBOR00408"/>
    <s v="PIZB0005"/>
    <x v="28"/>
    <x v="4"/>
    <x v="1"/>
    <n v="60"/>
    <x v="2"/>
    <n v="12"/>
    <n v="0.76031378549826045"/>
    <n v="720"/>
    <n v="172.57407444125246"/>
    <x v="2"/>
  </r>
  <r>
    <s v="PBOR00409"/>
    <s v="PIZB0006"/>
    <x v="8"/>
    <x v="5"/>
    <x v="0"/>
    <n v="95"/>
    <x v="0"/>
    <n v="8"/>
    <n v="0.23804641255169789"/>
    <n v="760"/>
    <n v="579.08472646070959"/>
    <x v="6"/>
  </r>
  <r>
    <s v="PBOR00410"/>
    <s v="PIZB0001"/>
    <x v="33"/>
    <x v="0"/>
    <x v="1"/>
    <n v="72"/>
    <x v="1"/>
    <n v="5"/>
    <n v="0.12523689369936652"/>
    <n v="360"/>
    <n v="314.91471826822806"/>
    <x v="4"/>
  </r>
  <r>
    <s v="PBOR00411"/>
    <s v="PIZB0002"/>
    <x v="14"/>
    <x v="1"/>
    <x v="0"/>
    <n v="65"/>
    <x v="2"/>
    <n v="4"/>
    <n v="6.7101746358327108E-2"/>
    <n v="260"/>
    <n v="242.55354594683496"/>
    <x v="1"/>
  </r>
  <r>
    <s v="PBOR00412"/>
    <s v="PIZB0003"/>
    <x v="16"/>
    <x v="2"/>
    <x v="1"/>
    <n v="250"/>
    <x v="0"/>
    <n v="2"/>
    <n v="0.98970617123906524"/>
    <n v="500"/>
    <n v="5.1469143804673827"/>
    <x v="0"/>
  </r>
  <r>
    <s v="PBOR00413"/>
    <s v="PIZB0004"/>
    <x v="17"/>
    <x v="3"/>
    <x v="0"/>
    <n v="130"/>
    <x v="1"/>
    <n v="2"/>
    <n v="0.26202679185175082"/>
    <n v="260"/>
    <n v="191.87303411854478"/>
    <x v="2"/>
  </r>
  <r>
    <s v="PBOR00414"/>
    <s v="PIZB0001"/>
    <x v="17"/>
    <x v="0"/>
    <x v="1"/>
    <n v="72"/>
    <x v="2"/>
    <n v="10"/>
    <n v="0.87263143953916489"/>
    <n v="720"/>
    <n v="91.705363531801282"/>
    <x v="2"/>
  </r>
  <r>
    <s v="PBOR00415"/>
    <s v="PIZB0002"/>
    <x v="5"/>
    <x v="1"/>
    <x v="1"/>
    <n v="65"/>
    <x v="0"/>
    <n v="6"/>
    <n v="0.76778137062272289"/>
    <n v="390"/>
    <n v="90.565265457138068"/>
    <x v="2"/>
  </r>
  <r>
    <s v="PBOR00416"/>
    <s v="PIZB0003"/>
    <x v="16"/>
    <x v="2"/>
    <x v="1"/>
    <n v="250"/>
    <x v="1"/>
    <n v="1"/>
    <n v="0.15750010631121669"/>
    <n v="250"/>
    <n v="210.62497342219584"/>
    <x v="0"/>
  </r>
  <r>
    <s v="PBOR00417"/>
    <s v="PIZB0004"/>
    <x v="1"/>
    <x v="0"/>
    <x v="1"/>
    <n v="72"/>
    <x v="2"/>
    <n v="9"/>
    <n v="0.53570171465492589"/>
    <n v="648"/>
    <n v="300.86528890360802"/>
    <x v="1"/>
  </r>
  <r>
    <s v="PBOR00418"/>
    <s v="PIZB0001"/>
    <x v="18"/>
    <x v="1"/>
    <x v="1"/>
    <n v="65"/>
    <x v="0"/>
    <n v="7"/>
    <n v="0.88217490075954386"/>
    <n v="455"/>
    <n v="53.610420154407542"/>
    <x v="5"/>
  </r>
  <r>
    <s v="PBOR00419"/>
    <s v="PIZB0002"/>
    <x v="3"/>
    <x v="2"/>
    <x v="0"/>
    <n v="250"/>
    <x v="0"/>
    <n v="3"/>
    <n v="7.4850081465574259E-2"/>
    <n v="750"/>
    <n v="693.86243890081926"/>
    <x v="3"/>
  </r>
  <r>
    <s v="PBOR00420"/>
    <s v="PIZB0003"/>
    <x v="19"/>
    <x v="3"/>
    <x v="1"/>
    <n v="130"/>
    <x v="1"/>
    <n v="4"/>
    <n v="0.4623515242530305"/>
    <n v="520"/>
    <n v="279.57720738842414"/>
    <x v="5"/>
  </r>
  <r>
    <s v="PBOR00421"/>
    <s v="PIZB0004"/>
    <x v="20"/>
    <x v="0"/>
    <x v="0"/>
    <n v="72"/>
    <x v="2"/>
    <n v="10"/>
    <n v="0.34462700763177134"/>
    <n v="720"/>
    <n v="471.86855450512462"/>
    <x v="6"/>
  </r>
  <r>
    <s v="PBOR00422"/>
    <s v="PIZB0001"/>
    <x v="21"/>
    <x v="1"/>
    <x v="1"/>
    <n v="65"/>
    <x v="0"/>
    <n v="7"/>
    <n v="0.69911624131260175"/>
    <n v="455"/>
    <n v="136.90211020276621"/>
    <x v="0"/>
  </r>
  <r>
    <s v="PBOR00423"/>
    <s v="PIZB0002"/>
    <x v="22"/>
    <x v="2"/>
    <x v="0"/>
    <n v="250"/>
    <x v="1"/>
    <n v="1"/>
    <n v="1.890946986705988E-2"/>
    <n v="250"/>
    <n v="245.27263253323503"/>
    <x v="5"/>
  </r>
  <r>
    <s v="PBOR00424"/>
    <s v="PIZB0003"/>
    <x v="23"/>
    <x v="3"/>
    <x v="1"/>
    <n v="130"/>
    <x v="2"/>
    <n v="5"/>
    <n v="0.73245470088007136"/>
    <n v="650"/>
    <n v="173.90444442795362"/>
    <x v="4"/>
  </r>
  <r>
    <s v="PBOR00425"/>
    <s v="PIZB0004"/>
    <x v="24"/>
    <x v="4"/>
    <x v="0"/>
    <n v="60"/>
    <x v="0"/>
    <n v="5"/>
    <n v="0.72297451744539321"/>
    <n v="300"/>
    <n v="83.107644766382037"/>
    <x v="1"/>
  </r>
  <r>
    <s v="PBOR00426"/>
    <s v="PIZB0005"/>
    <x v="16"/>
    <x v="0"/>
    <x v="1"/>
    <n v="72"/>
    <x v="1"/>
    <n v="9"/>
    <n v="0.97417776505363807"/>
    <n v="648"/>
    <n v="16.732808245242531"/>
    <x v="0"/>
  </r>
  <r>
    <s v="PBOR00427"/>
    <s v="PIZB0001"/>
    <x v="25"/>
    <x v="1"/>
    <x v="0"/>
    <n v="65"/>
    <x v="2"/>
    <n v="7"/>
    <n v="0.92441295707634297"/>
    <n v="455"/>
    <n v="34.39210453026395"/>
    <x v="6"/>
  </r>
  <r>
    <s v="PBOR00428"/>
    <s v="PIZB0002"/>
    <x v="6"/>
    <x v="2"/>
    <x v="1"/>
    <n v="250"/>
    <x v="0"/>
    <n v="3"/>
    <n v="0.34841204291363526"/>
    <n v="750"/>
    <n v="488.69096781477356"/>
    <x v="0"/>
  </r>
  <r>
    <s v="PBOR00429"/>
    <s v="PIZB0003"/>
    <x v="2"/>
    <x v="3"/>
    <x v="0"/>
    <n v="130"/>
    <x v="1"/>
    <n v="7"/>
    <n v="0.36862795502486845"/>
    <n v="910"/>
    <n v="574.54856092736975"/>
    <x v="2"/>
  </r>
  <r>
    <s v="PBOR00430"/>
    <s v="PIZB0004"/>
    <x v="26"/>
    <x v="0"/>
    <x v="1"/>
    <n v="72"/>
    <x v="2"/>
    <n v="12"/>
    <n v="0.38279600115505574"/>
    <n v="864"/>
    <n v="533.26425500203186"/>
    <x v="1"/>
  </r>
  <r>
    <s v="PBOR00431"/>
    <s v="PIZB0001"/>
    <x v="4"/>
    <x v="1"/>
    <x v="0"/>
    <n v="65"/>
    <x v="0"/>
    <n v="7"/>
    <n v="0.77278161923763322"/>
    <n v="455"/>
    <n v="103.38436324687689"/>
    <x v="4"/>
  </r>
  <r>
    <s v="PBOR00432"/>
    <s v="PIZB0002"/>
    <x v="27"/>
    <x v="2"/>
    <x v="1"/>
    <n v="250"/>
    <x v="1"/>
    <n v="3"/>
    <n v="0.98194581947705439"/>
    <n v="750"/>
    <n v="13.540635392209206"/>
    <x v="0"/>
  </r>
  <r>
    <s v="PBOR00433"/>
    <s v="PIZB0003"/>
    <x v="15"/>
    <x v="3"/>
    <x v="0"/>
    <n v="130"/>
    <x v="2"/>
    <n v="6"/>
    <n v="0.24372632968767749"/>
    <n v="780"/>
    <n v="589.89346284361159"/>
    <x v="0"/>
  </r>
  <r>
    <s v="PBOR00434"/>
    <s v="PIZB0004"/>
    <x v="28"/>
    <x v="4"/>
    <x v="1"/>
    <n v="60"/>
    <x v="0"/>
    <n v="14"/>
    <n v="0.50977491571581557"/>
    <n v="840"/>
    <n v="411.78907079871493"/>
    <x v="2"/>
  </r>
  <r>
    <s v="PBOR00435"/>
    <s v="PIZB0005"/>
    <x v="8"/>
    <x v="5"/>
    <x v="0"/>
    <n v="95"/>
    <x v="1"/>
    <n v="7"/>
    <n v="0.99123744515485723"/>
    <n v="665"/>
    <n v="5.8270989720199404"/>
    <x v="6"/>
  </r>
  <r>
    <s v="PBOR00436"/>
    <s v="PIZB0006"/>
    <x v="6"/>
    <x v="0"/>
    <x v="1"/>
    <n v="72"/>
    <x v="2"/>
    <n v="5"/>
    <n v="0.58001027642401182"/>
    <n v="360"/>
    <n v="151.19630048735576"/>
    <x v="0"/>
  </r>
  <r>
    <s v="PBOR00437"/>
    <s v="PIZB0001"/>
    <x v="27"/>
    <x v="1"/>
    <x v="1"/>
    <n v="65"/>
    <x v="0"/>
    <n v="8"/>
    <n v="0.20099809520802481"/>
    <n v="520"/>
    <n v="415.48099049182713"/>
    <x v="0"/>
  </r>
  <r>
    <s v="PBOR00438"/>
    <s v="PIZB0002"/>
    <x v="10"/>
    <x v="2"/>
    <x v="1"/>
    <n v="250"/>
    <x v="1"/>
    <n v="3"/>
    <n v="8.7589082057090373E-2"/>
    <n v="750"/>
    <n v="684.30818845718227"/>
    <x v="6"/>
  </r>
  <r>
    <s v="PBOR00439"/>
    <s v="PIZB0003"/>
    <x v="29"/>
    <x v="3"/>
    <x v="1"/>
    <n v="130"/>
    <x v="2"/>
    <n v="4"/>
    <n v="0.92203517798439572"/>
    <n v="520"/>
    <n v="40.541707448114231"/>
    <x v="2"/>
  </r>
  <r>
    <s v="PBOR00440"/>
    <s v="PIZB0004"/>
    <x v="30"/>
    <x v="0"/>
    <x v="1"/>
    <n v="72"/>
    <x v="0"/>
    <n v="10"/>
    <n v="0.40646951216415605"/>
    <n v="720"/>
    <n v="427.34195124180764"/>
    <x v="4"/>
  </r>
  <r>
    <s v="PBOR00441"/>
    <s v="PIZB0001"/>
    <x v="31"/>
    <x v="1"/>
    <x v="0"/>
    <n v="65"/>
    <x v="1"/>
    <n v="4"/>
    <n v="0.45522048494031297"/>
    <n v="260"/>
    <n v="141.64267391551863"/>
    <x v="3"/>
  </r>
  <r>
    <s v="PBOR00442"/>
    <s v="PIZB0002"/>
    <x v="27"/>
    <x v="2"/>
    <x v="1"/>
    <n v="250"/>
    <x v="2"/>
    <n v="3"/>
    <n v="0.45514828780898176"/>
    <n v="750"/>
    <n v="408.63878414326371"/>
    <x v="0"/>
  </r>
  <r>
    <s v="PBOR00443"/>
    <s v="PIZB0003"/>
    <x v="29"/>
    <x v="3"/>
    <x v="0"/>
    <n v="130"/>
    <x v="0"/>
    <n v="2"/>
    <n v="0.30126486834826394"/>
    <n v="260"/>
    <n v="181.67113422945138"/>
    <x v="2"/>
  </r>
  <r>
    <s v="PBOR00444"/>
    <s v="PIZB0004"/>
    <x v="1"/>
    <x v="4"/>
    <x v="1"/>
    <n v="60"/>
    <x v="1"/>
    <n v="4"/>
    <n v="0.22886312078587356"/>
    <n v="240"/>
    <n v="185.07285101139036"/>
    <x v="1"/>
  </r>
  <r>
    <s v="PBOR00445"/>
    <s v="PIZB0005"/>
    <x v="11"/>
    <x v="0"/>
    <x v="0"/>
    <n v="72"/>
    <x v="2"/>
    <n v="4"/>
    <n v="0.4885587902090005"/>
    <n v="288"/>
    <n v="147.29506841980785"/>
    <x v="5"/>
  </r>
  <r>
    <s v="PBOR00446"/>
    <s v="PIZB0001"/>
    <x v="5"/>
    <x v="1"/>
    <x v="1"/>
    <n v="65"/>
    <x v="0"/>
    <n v="7"/>
    <n v="0.88301012782394861"/>
    <n v="455"/>
    <n v="53.23039184010338"/>
    <x v="2"/>
  </r>
  <r>
    <s v="PBOR00447"/>
    <s v="PIZB0002"/>
    <x v="2"/>
    <x v="2"/>
    <x v="0"/>
    <n v="250"/>
    <x v="1"/>
    <n v="2"/>
    <n v="0.30705024398286174"/>
    <n v="500"/>
    <n v="346.47487800856914"/>
    <x v="2"/>
  </r>
  <r>
    <s v="PBOR00448"/>
    <s v="PIZB0003"/>
    <x v="31"/>
    <x v="3"/>
    <x v="1"/>
    <n v="130"/>
    <x v="2"/>
    <n v="6"/>
    <n v="0.85704939563753491"/>
    <n v="780"/>
    <n v="111.50147140272277"/>
    <x v="3"/>
  </r>
  <r>
    <s v="PBOR00449"/>
    <s v="PIZB0004"/>
    <x v="3"/>
    <x v="0"/>
    <x v="0"/>
    <n v="72"/>
    <x v="0"/>
    <n v="9"/>
    <n v="0.29159802445516347"/>
    <n v="648"/>
    <n v="459.04448015305405"/>
    <x v="3"/>
  </r>
  <r>
    <s v="PBOR00450"/>
    <s v="PIZB0001"/>
    <x v="25"/>
    <x v="1"/>
    <x v="1"/>
    <n v="65"/>
    <x v="1"/>
    <n v="9"/>
    <n v="0.2589445683285162"/>
    <n v="585"/>
    <n v="433.51742752781803"/>
    <x v="6"/>
  </r>
  <r>
    <s v="PBOR00451"/>
    <s v="PIZB0002"/>
    <x v="7"/>
    <x v="2"/>
    <x v="0"/>
    <n v="250"/>
    <x v="2"/>
    <n v="2"/>
    <n v="0.2954209948681138"/>
    <n v="500"/>
    <n v="352.28950256594311"/>
    <x v="5"/>
  </r>
  <r>
    <s v="PBOR00452"/>
    <s v="PIZB0003"/>
    <x v="25"/>
    <x v="3"/>
    <x v="1"/>
    <n v="130"/>
    <x v="0"/>
    <n v="2"/>
    <n v="7.4202009604403041E-2"/>
    <n v="260"/>
    <n v="240.7074775028552"/>
    <x v="6"/>
  </r>
  <r>
    <s v="PBOR00453"/>
    <s v="PIZB0004"/>
    <x v="32"/>
    <x v="4"/>
    <x v="0"/>
    <n v="60"/>
    <x v="1"/>
    <n v="11"/>
    <n v="3.9067003401354383E-2"/>
    <n v="660"/>
    <n v="634.21577775510616"/>
    <x v="6"/>
  </r>
  <r>
    <s v="PBOR00454"/>
    <s v="PIZB0005"/>
    <x v="33"/>
    <x v="5"/>
    <x v="1"/>
    <n v="95"/>
    <x v="2"/>
    <n v="4"/>
    <n v="0.76468504660372305"/>
    <n v="380"/>
    <n v="89.419682290585243"/>
    <x v="4"/>
  </r>
  <r>
    <s v="PBOR00455"/>
    <s v="PIZB0006"/>
    <x v="33"/>
    <x v="0"/>
    <x v="0"/>
    <n v="72"/>
    <x v="0"/>
    <n v="11"/>
    <n v="0.74867480539232067"/>
    <n v="792"/>
    <n v="199.04955412928203"/>
    <x v="4"/>
  </r>
  <r>
    <s v="PBOR00456"/>
    <s v="PIZB0001"/>
    <x v="22"/>
    <x v="1"/>
    <x v="1"/>
    <n v="65"/>
    <x v="1"/>
    <n v="6"/>
    <n v="0.69300939202757139"/>
    <n v="390"/>
    <n v="119.72633710924715"/>
    <x v="5"/>
  </r>
  <r>
    <s v="PBOR00457"/>
    <s v="PIZB0002"/>
    <x v="34"/>
    <x v="2"/>
    <x v="0"/>
    <n v="250"/>
    <x v="2"/>
    <n v="1"/>
    <n v="0.52937391222103747"/>
    <n v="250"/>
    <n v="117.65652194474063"/>
    <x v="3"/>
  </r>
  <r>
    <s v="PBOR00458"/>
    <s v="PIZB0003"/>
    <x v="7"/>
    <x v="3"/>
    <x v="1"/>
    <n v="130"/>
    <x v="0"/>
    <n v="3"/>
    <n v="0.32413514859934134"/>
    <n v="390"/>
    <n v="263.58729204625689"/>
    <x v="5"/>
  </r>
  <r>
    <s v="PBOR00459"/>
    <s v="PIZB0004"/>
    <x v="3"/>
    <x v="0"/>
    <x v="1"/>
    <n v="72"/>
    <x v="1"/>
    <n v="4"/>
    <n v="0.35907775149399723"/>
    <n v="288"/>
    <n v="184.58560756972881"/>
    <x v="3"/>
  </r>
  <r>
    <s v="PBOR00460"/>
    <s v="PIZB0001"/>
    <x v="31"/>
    <x v="1"/>
    <x v="1"/>
    <n v="65"/>
    <x v="2"/>
    <n v="6"/>
    <n v="0.65908590258865696"/>
    <n v="390"/>
    <n v="132.9564979904238"/>
    <x v="3"/>
  </r>
  <r>
    <s v="PBOR00461"/>
    <s v="PIZB0002"/>
    <x v="4"/>
    <x v="2"/>
    <x v="1"/>
    <n v="250"/>
    <x v="0"/>
    <n v="2"/>
    <n v="0.51385178684784039"/>
    <n v="500"/>
    <n v="243.0741065760798"/>
    <x v="4"/>
  </r>
  <r>
    <s v="PBOR00462"/>
    <s v="PIZB0003"/>
    <x v="34"/>
    <x v="3"/>
    <x v="1"/>
    <n v="130"/>
    <x v="1"/>
    <n v="4"/>
    <n v="0.76665009072072687"/>
    <n v="520"/>
    <n v="121.34195282522202"/>
    <x v="3"/>
  </r>
  <r>
    <s v="PBOR00463"/>
    <s v="PIZB0004"/>
    <x v="13"/>
    <x v="0"/>
    <x v="0"/>
    <n v="72"/>
    <x v="2"/>
    <n v="5"/>
    <n v="0.73529214203054083"/>
    <n v="360"/>
    <n v="95.2948288690053"/>
    <x v="1"/>
  </r>
  <r>
    <s v="PBOR00464"/>
    <s v="PIZB0001"/>
    <x v="35"/>
    <x v="1"/>
    <x v="1"/>
    <n v="65"/>
    <x v="0"/>
    <n v="9"/>
    <n v="0.44567996518569519"/>
    <n v="585"/>
    <n v="324.27722036636834"/>
    <x v="4"/>
  </r>
  <r>
    <s v="PBOR00465"/>
    <s v="PIZB0002"/>
    <x v="2"/>
    <x v="2"/>
    <x v="0"/>
    <n v="250"/>
    <x v="0"/>
    <n v="2"/>
    <n v="0.80491760131950119"/>
    <n v="500"/>
    <n v="97.541199340249406"/>
    <x v="2"/>
  </r>
  <r>
    <s v="PBOR00466"/>
    <s v="PIZB0003"/>
    <x v="13"/>
    <x v="3"/>
    <x v="1"/>
    <n v="130"/>
    <x v="1"/>
    <n v="4"/>
    <n v="0.63252724233750568"/>
    <n v="520"/>
    <n v="191.08583398449704"/>
    <x v="1"/>
  </r>
  <r>
    <s v="PBOR00467"/>
    <s v="PIZB0004"/>
    <x v="18"/>
    <x v="0"/>
    <x v="0"/>
    <n v="72"/>
    <x v="2"/>
    <n v="12"/>
    <n v="0.54172415841062738"/>
    <n v="864"/>
    <n v="395.95032713321797"/>
    <x v="5"/>
  </r>
  <r>
    <s v="PBOR00468"/>
    <s v="PIZB0001"/>
    <x v="23"/>
    <x v="1"/>
    <x v="1"/>
    <n v="65"/>
    <x v="0"/>
    <n v="11"/>
    <n v="0.51449622999670686"/>
    <n v="715"/>
    <n v="347.13519555235462"/>
    <x v="4"/>
  </r>
  <r>
    <s v="PBOR00469"/>
    <s v="PIZB0002"/>
    <x v="36"/>
    <x v="2"/>
    <x v="0"/>
    <n v="250"/>
    <x v="1"/>
    <n v="2"/>
    <n v="0.23752502847518697"/>
    <n v="500"/>
    <n v="381.23748576240649"/>
    <x v="1"/>
  </r>
  <r>
    <s v="PBOR00470"/>
    <s v="PIZB0003"/>
    <x v="37"/>
    <x v="3"/>
    <x v="1"/>
    <n v="130"/>
    <x v="2"/>
    <n v="4"/>
    <n v="0.99120610081358274"/>
    <n v="520"/>
    <n v="4.5728275769369775"/>
    <x v="5"/>
  </r>
  <r>
    <s v="PBOR00471"/>
    <s v="PIZB0004"/>
    <x v="4"/>
    <x v="4"/>
    <x v="0"/>
    <n v="60"/>
    <x v="0"/>
    <n v="9"/>
    <n v="0.59705890981846566"/>
    <n v="540"/>
    <n v="217.58818869802855"/>
    <x v="4"/>
  </r>
  <r>
    <s v="PBOR00472"/>
    <s v="PIZB0005"/>
    <x v="3"/>
    <x v="0"/>
    <x v="1"/>
    <n v="72"/>
    <x v="1"/>
    <n v="3"/>
    <n v="0.47137791834027587"/>
    <n v="216"/>
    <n v="114.18236963850042"/>
    <x v="3"/>
  </r>
  <r>
    <s v="PBOR00473"/>
    <s v="PIZB0001"/>
    <x v="35"/>
    <x v="1"/>
    <x v="0"/>
    <n v="65"/>
    <x v="2"/>
    <n v="14"/>
    <n v="0.41181740780767351"/>
    <n v="910"/>
    <n v="535.24615889501706"/>
    <x v="4"/>
  </r>
  <r>
    <s v="PBOR00474"/>
    <s v="PIZB0002"/>
    <x v="11"/>
    <x v="2"/>
    <x v="1"/>
    <n v="250"/>
    <x v="0"/>
    <n v="3"/>
    <n v="7.2014892327985192E-2"/>
    <n v="750"/>
    <n v="695.98883075401113"/>
    <x v="5"/>
  </r>
  <r>
    <s v="PBOR00475"/>
    <s v="PIZB0003"/>
    <x v="10"/>
    <x v="3"/>
    <x v="0"/>
    <n v="130"/>
    <x v="1"/>
    <n v="7"/>
    <n v="0.28425228592980878"/>
    <n v="910"/>
    <n v="651.33041980387407"/>
    <x v="6"/>
  </r>
  <r>
    <s v="PBOR00476"/>
    <s v="PIZB0004"/>
    <x v="1"/>
    <x v="0"/>
    <x v="1"/>
    <n v="72"/>
    <x v="2"/>
    <n v="3"/>
    <n v="0.51473636278960266"/>
    <n v="216"/>
    <n v="104.81694563744583"/>
    <x v="1"/>
  </r>
  <r>
    <s v="PBOR00477"/>
    <s v="PIZB0001"/>
    <x v="17"/>
    <x v="1"/>
    <x v="0"/>
    <n v="65"/>
    <x v="0"/>
    <n v="7"/>
    <n v="0.84360853679959769"/>
    <n v="455"/>
    <n v="71.158115756183051"/>
    <x v="2"/>
  </r>
  <r>
    <s v="PBOR00478"/>
    <s v="PIZB0002"/>
    <x v="17"/>
    <x v="2"/>
    <x v="1"/>
    <n v="250"/>
    <x v="1"/>
    <n v="3"/>
    <n v="0.79410595242208182"/>
    <n v="750"/>
    <n v="154.42053568343863"/>
    <x v="2"/>
  </r>
  <r>
    <s v="PBOR00479"/>
    <s v="PIZB0003"/>
    <x v="37"/>
    <x v="3"/>
    <x v="0"/>
    <n v="130"/>
    <x v="2"/>
    <n v="4"/>
    <n v="0.43743103077150813"/>
    <n v="520"/>
    <n v="292.53586399881578"/>
    <x v="5"/>
  </r>
  <r>
    <s v="PBOR00480"/>
    <s v="PIZB0004"/>
    <x v="4"/>
    <x v="4"/>
    <x v="1"/>
    <n v="60"/>
    <x v="0"/>
    <n v="7"/>
    <n v="0.62414285851347806"/>
    <n v="420"/>
    <n v="157.85999942433921"/>
    <x v="4"/>
  </r>
  <r>
    <s v="PBOR00481"/>
    <s v="PIZB0005"/>
    <x v="2"/>
    <x v="5"/>
    <x v="1"/>
    <n v="95"/>
    <x v="1"/>
    <n v="4"/>
    <n v="0.8866455913476804"/>
    <n v="380"/>
    <n v="43.074675287881448"/>
    <x v="2"/>
  </r>
  <r>
    <s v="PBOR00482"/>
    <s v="PIZB0006"/>
    <x v="12"/>
    <x v="0"/>
    <x v="1"/>
    <n v="72"/>
    <x v="2"/>
    <n v="6"/>
    <n v="0.18359273290431566"/>
    <n v="432"/>
    <n v="352.68793938533565"/>
    <x v="4"/>
  </r>
  <r>
    <s v="PBOR00483"/>
    <s v="PIZB0001"/>
    <x v="0"/>
    <x v="1"/>
    <x v="1"/>
    <n v="65"/>
    <x v="0"/>
    <n v="5"/>
    <n v="0.15906506531321729"/>
    <n v="325"/>
    <n v="273.30385377320437"/>
    <x v="0"/>
  </r>
  <r>
    <s v="PBOR00484"/>
    <s v="PIZB0002"/>
    <x v="38"/>
    <x v="2"/>
    <x v="1"/>
    <n v="250"/>
    <x v="1"/>
    <n v="2"/>
    <n v="0.29466747014106187"/>
    <n v="500"/>
    <n v="352.66626492946904"/>
    <x v="3"/>
  </r>
  <r>
    <s v="PBOR00485"/>
    <s v="PIZB0003"/>
    <x v="1"/>
    <x v="3"/>
    <x v="0"/>
    <n v="130"/>
    <x v="2"/>
    <n v="2"/>
    <n v="0.35414118605930123"/>
    <n v="260"/>
    <n v="167.92329162458168"/>
    <x v="1"/>
  </r>
  <r>
    <s v="PBOR00486"/>
    <s v="PIZB0004"/>
    <x v="2"/>
    <x v="0"/>
    <x v="1"/>
    <n v="72"/>
    <x v="0"/>
    <n v="4"/>
    <n v="0.40463831594750665"/>
    <n v="288"/>
    <n v="171.46416500711808"/>
    <x v="2"/>
  </r>
  <r>
    <s v="PBOR00487"/>
    <s v="PIZB0001"/>
    <x v="5"/>
    <x v="1"/>
    <x v="0"/>
    <n v="65"/>
    <x v="1"/>
    <n v="10"/>
    <n v="0.56828189926736972"/>
    <n v="650"/>
    <n v="280.61676547620971"/>
    <x v="2"/>
  </r>
  <r>
    <s v="PBOR00488"/>
    <s v="PIZB0002"/>
    <x v="3"/>
    <x v="2"/>
    <x v="1"/>
    <n v="250"/>
    <x v="2"/>
    <n v="1"/>
    <n v="0.68415839920111321"/>
    <n v="250"/>
    <n v="78.960400199721704"/>
    <x v="3"/>
  </r>
  <r>
    <s v="PBOR00489"/>
    <s v="PIZB0003"/>
    <x v="36"/>
    <x v="3"/>
    <x v="0"/>
    <n v="130"/>
    <x v="0"/>
    <n v="6"/>
    <n v="0.47900916747418532"/>
    <n v="780"/>
    <n v="406.37284937013544"/>
    <x v="1"/>
  </r>
  <r>
    <s v="PBOR00490"/>
    <s v="PIZB0004"/>
    <x v="24"/>
    <x v="4"/>
    <x v="1"/>
    <n v="60"/>
    <x v="1"/>
    <n v="4"/>
    <n v="0.89045722746488731"/>
    <n v="240"/>
    <n v="26.290265408427047"/>
    <x v="1"/>
  </r>
  <r>
    <s v="PBOR00491"/>
    <s v="PIZB0005"/>
    <x v="21"/>
    <x v="0"/>
    <x v="0"/>
    <n v="72"/>
    <x v="2"/>
    <n v="7"/>
    <n v="0.50949971880500122"/>
    <n v="504"/>
    <n v="247.2121417222794"/>
    <x v="0"/>
  </r>
  <r>
    <s v="PBOR00492"/>
    <s v="PIZB0001"/>
    <x v="32"/>
    <x v="1"/>
    <x v="1"/>
    <n v="65"/>
    <x v="0"/>
    <n v="12"/>
    <n v="0.78361211804502018"/>
    <n v="780"/>
    <n v="168.78254792488426"/>
    <x v="6"/>
  </r>
  <r>
    <s v="PBOR00493"/>
    <s v="PIZB0002"/>
    <x v="4"/>
    <x v="2"/>
    <x v="0"/>
    <n v="250"/>
    <x v="1"/>
    <n v="1"/>
    <n v="6.596920154790531E-2"/>
    <n v="250"/>
    <n v="233.50769961302368"/>
    <x v="4"/>
  </r>
  <r>
    <s v="PBOR00494"/>
    <s v="PIZB0003"/>
    <x v="2"/>
    <x v="3"/>
    <x v="1"/>
    <n v="130"/>
    <x v="2"/>
    <n v="6"/>
    <n v="0.17858014910494857"/>
    <n v="780"/>
    <n v="640.70748369814009"/>
    <x v="2"/>
  </r>
  <r>
    <s v="PBOR00495"/>
    <s v="PIZB0004"/>
    <x v="27"/>
    <x v="0"/>
    <x v="0"/>
    <n v="72"/>
    <x v="0"/>
    <n v="4"/>
    <n v="0.43587855952805254"/>
    <n v="288"/>
    <n v="162.46697485592085"/>
    <x v="0"/>
  </r>
  <r>
    <s v="PBOR00496"/>
    <s v="PIZB0001"/>
    <x v="0"/>
    <x v="1"/>
    <x v="1"/>
    <n v="65"/>
    <x v="1"/>
    <n v="10"/>
    <n v="0.74040338644493453"/>
    <n v="650"/>
    <n v="168.73779881079255"/>
    <x v="0"/>
  </r>
  <r>
    <s v="PBOR00497"/>
    <s v="PIZB0002"/>
    <x v="1"/>
    <x v="2"/>
    <x v="0"/>
    <n v="250"/>
    <x v="2"/>
    <n v="4"/>
    <n v="0.54109571345744756"/>
    <n v="1000"/>
    <n v="458.90428654255243"/>
    <x v="1"/>
  </r>
  <r>
    <s v="PBOR00498"/>
    <s v="PIZB0003"/>
    <x v="28"/>
    <x v="3"/>
    <x v="1"/>
    <n v="130"/>
    <x v="0"/>
    <n v="3"/>
    <n v="0.71271172701355112"/>
    <n v="390"/>
    <n v="112.04242646471506"/>
    <x v="2"/>
  </r>
  <r>
    <s v="PBOR00499"/>
    <s v="PIZB0004"/>
    <x v="8"/>
    <x v="4"/>
    <x v="0"/>
    <n v="60"/>
    <x v="1"/>
    <n v="13"/>
    <n v="0.66248409996473057"/>
    <n v="780"/>
    <n v="263.26240202751018"/>
    <x v="6"/>
  </r>
  <r>
    <s v="PBOR00500"/>
    <s v="PIZB0005"/>
    <x v="33"/>
    <x v="5"/>
    <x v="1"/>
    <n v="95"/>
    <x v="2"/>
    <n v="4"/>
    <n v="0.51300641040982664"/>
    <n v="380"/>
    <n v="185.05756404426589"/>
    <x v="4"/>
  </r>
  <r>
    <s v="PBOR00501"/>
    <s v="PIZB0006"/>
    <x v="14"/>
    <x v="0"/>
    <x v="0"/>
    <n v="72"/>
    <x v="0"/>
    <n v="3"/>
    <n v="0.84951124937796896"/>
    <n v="216"/>
    <n v="32.505570134358706"/>
    <x v="1"/>
  </r>
  <r>
    <s v="PBOR00502"/>
    <s v="PIZB0001"/>
    <x v="16"/>
    <x v="1"/>
    <x v="1"/>
    <n v="65"/>
    <x v="1"/>
    <n v="12"/>
    <n v="0.57786595909251792"/>
    <n v="780"/>
    <n v="329.26455190783599"/>
    <x v="0"/>
  </r>
  <r>
    <s v="PBOR00503"/>
    <s v="PIZB0002"/>
    <x v="17"/>
    <x v="2"/>
    <x v="1"/>
    <n v="250"/>
    <x v="2"/>
    <n v="4"/>
    <n v="1.9027976654024337E-2"/>
    <n v="1000"/>
    <n v="980.97202334597569"/>
    <x v="2"/>
  </r>
  <r>
    <s v="PBOR00504"/>
    <s v="PIZB0001"/>
    <x v="39"/>
    <x v="0"/>
    <x v="0"/>
    <n v="72"/>
    <x v="0"/>
    <n v="9"/>
    <n v="0.73714748212917536"/>
    <n v="648"/>
    <n v="170.32843158029436"/>
    <x v="6"/>
  </r>
  <r>
    <s v="PBOR00505"/>
    <s v="PIZB0002"/>
    <x v="40"/>
    <x v="1"/>
    <x v="1"/>
    <n v="65"/>
    <x v="1"/>
    <n v="11"/>
    <n v="0.53204572892110613"/>
    <n v="715"/>
    <n v="334.58730382140914"/>
    <x v="5"/>
  </r>
  <r>
    <s v="PBOR00506"/>
    <s v="PIZB0003"/>
    <x v="41"/>
    <x v="2"/>
    <x v="0"/>
    <n v="250"/>
    <x v="2"/>
    <n v="2"/>
    <n v="0.30759419957923517"/>
    <n v="500"/>
    <n v="346.20290021038244"/>
    <x v="0"/>
  </r>
  <r>
    <s v="PBOR00507"/>
    <s v="PIZB0004"/>
    <x v="42"/>
    <x v="3"/>
    <x v="1"/>
    <n v="130"/>
    <x v="0"/>
    <n v="5"/>
    <n v="0.80954413805118619"/>
    <n v="650"/>
    <n v="123.79631026672898"/>
    <x v="0"/>
  </r>
  <r>
    <s v="PBOR00508"/>
    <s v="PIZB0001"/>
    <x v="43"/>
    <x v="0"/>
    <x v="0"/>
    <n v="72"/>
    <x v="1"/>
    <n v="8"/>
    <n v="0.33614835501021945"/>
    <n v="576"/>
    <n v="382.37854751411362"/>
    <x v="3"/>
  </r>
  <r>
    <s v="PBOR00509"/>
    <s v="PIZB0002"/>
    <x v="44"/>
    <x v="1"/>
    <x v="1"/>
    <n v="65"/>
    <x v="2"/>
    <n v="5"/>
    <n v="6.2463327963444004E-2"/>
    <n v="325"/>
    <n v="304.69941841188069"/>
    <x v="2"/>
  </r>
  <r>
    <s v="PBOR00510"/>
    <s v="PIZB0003"/>
    <x v="45"/>
    <x v="2"/>
    <x v="0"/>
    <n v="250"/>
    <x v="0"/>
    <n v="2"/>
    <n v="1.0512895825758872E-2"/>
    <n v="500"/>
    <n v="494.74355208712058"/>
    <x v="6"/>
  </r>
  <r>
    <s v="PBOR00511"/>
    <s v="PIZB0004"/>
    <x v="46"/>
    <x v="3"/>
    <x v="1"/>
    <n v="130"/>
    <x v="1"/>
    <n v="4"/>
    <n v="0.14876370135679184"/>
    <n v="520"/>
    <n v="442.64287529446824"/>
    <x v="1"/>
  </r>
  <r>
    <s v="PBOR00512"/>
    <s v="PIZB0005"/>
    <x v="47"/>
    <x v="4"/>
    <x v="0"/>
    <n v="60"/>
    <x v="2"/>
    <n v="12"/>
    <n v="0.22997167883159131"/>
    <n v="720"/>
    <n v="554.42039124125426"/>
    <x v="2"/>
  </r>
  <r>
    <s v="PBOR00513"/>
    <s v="PIZB0001"/>
    <x v="48"/>
    <x v="0"/>
    <x v="1"/>
    <n v="72"/>
    <x v="0"/>
    <n v="12"/>
    <n v="0.42008043149578334"/>
    <n v="864"/>
    <n v="501.05050718764318"/>
    <x v="4"/>
  </r>
  <r>
    <s v="PBOR00514"/>
    <s v="PIZB0002"/>
    <x v="32"/>
    <x v="1"/>
    <x v="0"/>
    <n v="65"/>
    <x v="1"/>
    <n v="9"/>
    <n v="0.99714770049154633"/>
    <n v="585"/>
    <n v="1.6685952124453973"/>
    <x v="6"/>
  </r>
  <r>
    <s v="PBOR00515"/>
    <s v="PIZB0003"/>
    <x v="49"/>
    <x v="2"/>
    <x v="1"/>
    <n v="250"/>
    <x v="2"/>
    <n v="3"/>
    <n v="0.49832011500357964"/>
    <n v="750"/>
    <n v="376.2599137473153"/>
    <x v="2"/>
  </r>
  <r>
    <s v="PBOR00516"/>
    <s v="PIZB0004"/>
    <x v="19"/>
    <x v="3"/>
    <x v="0"/>
    <n v="130"/>
    <x v="0"/>
    <n v="6"/>
    <n v="0.17248432341449427"/>
    <n v="780"/>
    <n v="645.46222773669444"/>
    <x v="5"/>
  </r>
  <r>
    <s v="PBOR00517"/>
    <s v="PIZB0001"/>
    <x v="50"/>
    <x v="0"/>
    <x v="1"/>
    <n v="72"/>
    <x v="1"/>
    <n v="8"/>
    <n v="0.34252486348874756"/>
    <n v="576"/>
    <n v="378.70567863048143"/>
    <x v="5"/>
  </r>
  <r>
    <s v="PBOR00518"/>
    <s v="PIZB0002"/>
    <x v="51"/>
    <x v="1"/>
    <x v="0"/>
    <n v="65"/>
    <x v="2"/>
    <n v="4"/>
    <n v="0.52902629057938466"/>
    <n v="260"/>
    <n v="122.45316444935999"/>
    <x v="0"/>
  </r>
  <r>
    <s v="PBOR00519"/>
    <s v="PIZB0003"/>
    <x v="29"/>
    <x v="2"/>
    <x v="1"/>
    <n v="250"/>
    <x v="0"/>
    <n v="2"/>
    <n v="0.59398749290873765"/>
    <n v="500"/>
    <n v="203.00625354563118"/>
    <x v="2"/>
  </r>
  <r>
    <s v="PBOR00520"/>
    <s v="PIZB0004"/>
    <x v="52"/>
    <x v="3"/>
    <x v="0"/>
    <n v="130"/>
    <x v="1"/>
    <n v="6"/>
    <n v="0.48622256306726608"/>
    <n v="780"/>
    <n v="400.74640080753244"/>
    <x v="1"/>
  </r>
  <r>
    <s v="PBOR00521"/>
    <s v="PIZB0005"/>
    <x v="26"/>
    <x v="4"/>
    <x v="0"/>
    <n v="60"/>
    <x v="2"/>
    <n v="15"/>
    <n v="0.56378405776261664"/>
    <n v="900"/>
    <n v="392.594348013645"/>
    <x v="1"/>
  </r>
  <r>
    <s v="PBOR00522"/>
    <s v="PIZB0006"/>
    <x v="47"/>
    <x v="5"/>
    <x v="1"/>
    <n v="95"/>
    <x v="0"/>
    <n v="8"/>
    <n v="0.52410460628515365"/>
    <n v="760"/>
    <n v="361.68049922328322"/>
    <x v="2"/>
  </r>
  <r>
    <s v="PBOR00523"/>
    <s v="PIZB0001"/>
    <x v="46"/>
    <x v="0"/>
    <x v="1"/>
    <n v="72"/>
    <x v="1"/>
    <n v="4"/>
    <n v="0.84436354507338007"/>
    <n v="288"/>
    <n v="44.823299018866535"/>
    <x v="1"/>
  </r>
  <r>
    <s v="PBOR00524"/>
    <s v="PIZB0002"/>
    <x v="41"/>
    <x v="1"/>
    <x v="1"/>
    <n v="65"/>
    <x v="2"/>
    <n v="3"/>
    <n v="0.65127074626351689"/>
    <n v="195"/>
    <n v="68.002204478614203"/>
    <x v="0"/>
  </r>
  <r>
    <s v="PBOR00525"/>
    <s v="PIZB0003"/>
    <x v="53"/>
    <x v="2"/>
    <x v="0"/>
    <n v="250"/>
    <x v="0"/>
    <n v="1"/>
    <n v="0.16171458221672275"/>
    <n v="250"/>
    <n v="209.57135444581931"/>
    <x v="4"/>
  </r>
  <r>
    <s v="PBOR00526"/>
    <s v="PIZB0004"/>
    <x v="54"/>
    <x v="3"/>
    <x v="0"/>
    <n v="130"/>
    <x v="1"/>
    <n v="3"/>
    <n v="0.763747360909248"/>
    <n v="390"/>
    <n v="92.138529245393286"/>
    <x v="0"/>
  </r>
  <r>
    <s v="PBOR00527"/>
    <s v="PIZB0001"/>
    <x v="32"/>
    <x v="0"/>
    <x v="0"/>
    <n v="72"/>
    <x v="2"/>
    <n v="6"/>
    <n v="0.76361327575662707"/>
    <n v="432"/>
    <n v="102.11906487313711"/>
    <x v="6"/>
  </r>
  <r>
    <s v="PBOR00528"/>
    <s v="PIZB0002"/>
    <x v="30"/>
    <x v="1"/>
    <x v="0"/>
    <n v="65"/>
    <x v="0"/>
    <n v="12"/>
    <n v="0.4605459521047095"/>
    <n v="780"/>
    <n v="420.77415735832659"/>
    <x v="4"/>
  </r>
  <r>
    <s v="PBOR00529"/>
    <s v="PIZB0003"/>
    <x v="55"/>
    <x v="2"/>
    <x v="0"/>
    <n v="250"/>
    <x v="1"/>
    <n v="3"/>
    <n v="0.34428622086612493"/>
    <n v="750"/>
    <n v="491.78533435040629"/>
    <x v="3"/>
  </r>
  <r>
    <s v="PBOR00530"/>
    <s v="PIZB0004"/>
    <x v="19"/>
    <x v="3"/>
    <x v="0"/>
    <n v="130"/>
    <x v="2"/>
    <n v="5"/>
    <n v="0.34857107328528036"/>
    <n v="650"/>
    <n v="423.42880236456779"/>
    <x v="5"/>
  </r>
  <r>
    <s v="PBOR00531"/>
    <s v="PIZB0005"/>
    <x v="39"/>
    <x v="4"/>
    <x v="0"/>
    <n v="60"/>
    <x v="0"/>
    <n v="7"/>
    <n v="0.75358550623055809"/>
    <n v="420"/>
    <n v="103.49408738316561"/>
    <x v="6"/>
  </r>
  <r>
    <s v="PBOR00532"/>
    <s v="PIZB0001"/>
    <x v="33"/>
    <x v="0"/>
    <x v="0"/>
    <n v="72"/>
    <x v="1"/>
    <n v="7"/>
    <n v="0.76884370666570034"/>
    <n v="504"/>
    <n v="116.50277184048703"/>
    <x v="4"/>
  </r>
  <r>
    <s v="PBOR00533"/>
    <s v="PIZB0002"/>
    <x v="40"/>
    <x v="1"/>
    <x v="0"/>
    <n v="65"/>
    <x v="2"/>
    <n v="12"/>
    <n v="0.17345886260650878"/>
    <n v="780"/>
    <n v="644.70208716692321"/>
    <x v="5"/>
  </r>
  <r>
    <s v="PBOR00534"/>
    <s v="PIZB0003"/>
    <x v="56"/>
    <x v="2"/>
    <x v="1"/>
    <n v="250"/>
    <x v="0"/>
    <n v="1"/>
    <n v="0.97599790309327894"/>
    <n v="250"/>
    <n v="6.0005242266802652"/>
    <x v="4"/>
  </r>
  <r>
    <s v="PBOR00535"/>
    <s v="PIZB0004"/>
    <x v="57"/>
    <x v="3"/>
    <x v="0"/>
    <n v="130"/>
    <x v="1"/>
    <n v="2"/>
    <n v="5.970179367476991E-2"/>
    <n v="260"/>
    <n v="244.47753364455983"/>
    <x v="3"/>
  </r>
  <r>
    <s v="PBOR00536"/>
    <s v="PIZB0001"/>
    <x v="58"/>
    <x v="0"/>
    <x v="0"/>
    <n v="72"/>
    <x v="2"/>
    <n v="7"/>
    <n v="0.26652581277941922"/>
    <n v="504"/>
    <n v="369.67099035917272"/>
    <x v="2"/>
  </r>
  <r>
    <s v="PBOR00537"/>
    <s v="PIZB0002"/>
    <x v="59"/>
    <x v="1"/>
    <x v="0"/>
    <n v="65"/>
    <x v="0"/>
    <n v="3"/>
    <n v="0.72448773069060701"/>
    <n v="195"/>
    <n v="53.724892515331632"/>
    <x v="3"/>
  </r>
  <r>
    <s v="PBOR00538"/>
    <s v="PIZB0003"/>
    <x v="58"/>
    <x v="2"/>
    <x v="0"/>
    <n v="250"/>
    <x v="1"/>
    <n v="2"/>
    <n v="0.86334269679392373"/>
    <n v="500"/>
    <n v="68.328651603038139"/>
    <x v="2"/>
  </r>
  <r>
    <s v="PBOR00539"/>
    <s v="PIZB0004"/>
    <x v="30"/>
    <x v="3"/>
    <x v="0"/>
    <n v="130"/>
    <x v="2"/>
    <n v="3"/>
    <n v="8.6871006705842246E-2"/>
    <n v="390"/>
    <n v="356.12030738472151"/>
    <x v="4"/>
  </r>
  <r>
    <s v="PBOR00540"/>
    <s v="PIZB0005"/>
    <x v="40"/>
    <x v="4"/>
    <x v="1"/>
    <n v="60"/>
    <x v="0"/>
    <n v="12"/>
    <n v="9.7664049466805958E-2"/>
    <n v="720"/>
    <n v="649.68188438389973"/>
    <x v="5"/>
  </r>
  <r>
    <s v="PBOR00541"/>
    <s v="PIZB0006"/>
    <x v="57"/>
    <x v="5"/>
    <x v="0"/>
    <n v="95"/>
    <x v="1"/>
    <n v="3"/>
    <n v="0.81466444113264924"/>
    <n v="285"/>
    <n v="52.820634277194969"/>
    <x v="3"/>
  </r>
  <r>
    <s v="PBOR00542"/>
    <s v="PIZB0001"/>
    <x v="58"/>
    <x v="0"/>
    <x v="0"/>
    <n v="72"/>
    <x v="2"/>
    <n v="6"/>
    <n v="0.76409272176872822"/>
    <n v="432"/>
    <n v="101.91194419590941"/>
    <x v="2"/>
  </r>
  <r>
    <s v="PBOR00543"/>
    <s v="PIZB0002"/>
    <x v="60"/>
    <x v="1"/>
    <x v="0"/>
    <n v="65"/>
    <x v="0"/>
    <n v="5"/>
    <n v="0.77982819847167895"/>
    <n v="325"/>
    <n v="71.555835496704347"/>
    <x v="4"/>
  </r>
  <r>
    <s v="PBOR00544"/>
    <s v="PIZB0003"/>
    <x v="61"/>
    <x v="2"/>
    <x v="1"/>
    <n v="250"/>
    <x v="1"/>
    <n v="3"/>
    <n v="0.61609766992102122"/>
    <n v="750"/>
    <n v="287.92674755923406"/>
    <x v="1"/>
  </r>
  <r>
    <s v="PBOR00545"/>
    <s v="PIZB0004"/>
    <x v="56"/>
    <x v="3"/>
    <x v="1"/>
    <n v="130"/>
    <x v="2"/>
    <n v="5"/>
    <n v="0.86119686769961923"/>
    <n v="650"/>
    <n v="90.222035995247495"/>
    <x v="4"/>
  </r>
  <r>
    <s v="PBOR00546"/>
    <s v="PIZB0001"/>
    <x v="30"/>
    <x v="0"/>
    <x v="1"/>
    <n v="72"/>
    <x v="0"/>
    <n v="6"/>
    <n v="0.72027022092143445"/>
    <n v="432"/>
    <n v="120.84326456194032"/>
    <x v="4"/>
  </r>
  <r>
    <s v="PBOR00547"/>
    <s v="PIZB0002"/>
    <x v="43"/>
    <x v="1"/>
    <x v="1"/>
    <n v="65"/>
    <x v="1"/>
    <n v="11"/>
    <n v="0.74273046845200918"/>
    <n v="715"/>
    <n v="183.94771505681342"/>
    <x v="3"/>
  </r>
  <r>
    <s v="PBOR00548"/>
    <s v="PIZB0003"/>
    <x v="62"/>
    <x v="2"/>
    <x v="1"/>
    <n v="250"/>
    <x v="2"/>
    <n v="1"/>
    <n v="0.56510762842232509"/>
    <n v="250"/>
    <n v="108.72309289441873"/>
    <x v="3"/>
  </r>
  <r>
    <s v="PBOR00549"/>
    <s v="PIZB0004"/>
    <x v="51"/>
    <x v="3"/>
    <x v="1"/>
    <n v="130"/>
    <x v="0"/>
    <n v="3"/>
    <n v="0.19467937560032444"/>
    <n v="390"/>
    <n v="314.07504351587346"/>
    <x v="0"/>
  </r>
  <r>
    <s v="PBOR00550"/>
    <s v="PIZB0001"/>
    <x v="63"/>
    <x v="0"/>
    <x v="0"/>
    <n v="72"/>
    <x v="0"/>
    <n v="10"/>
    <n v="0.64142139804536991"/>
    <n v="720"/>
    <n v="258.17659340733366"/>
    <x v="3"/>
  </r>
  <r>
    <s v="PBOR00551"/>
    <s v="PIZB0002"/>
    <x v="64"/>
    <x v="1"/>
    <x v="1"/>
    <n v="65"/>
    <x v="1"/>
    <n v="6"/>
    <n v="0.2697199043416687"/>
    <n v="390"/>
    <n v="284.8092373067492"/>
    <x v="4"/>
  </r>
  <r>
    <s v="PBOR00552"/>
    <s v="PIZB0003"/>
    <x v="63"/>
    <x v="2"/>
    <x v="0"/>
    <n v="250"/>
    <x v="2"/>
    <n v="2"/>
    <n v="0.92953877181255196"/>
    <n v="500"/>
    <n v="35.230614093724022"/>
    <x v="3"/>
  </r>
  <r>
    <s v="PBOR00553"/>
    <s v="PIZB0004"/>
    <x v="61"/>
    <x v="3"/>
    <x v="1"/>
    <n v="130"/>
    <x v="0"/>
    <n v="5"/>
    <n v="0.21832208938276287"/>
    <n v="650"/>
    <n v="508.09064190120415"/>
    <x v="1"/>
  </r>
  <r>
    <s v="PBOR00554"/>
    <s v="PIZB0001"/>
    <x v="62"/>
    <x v="0"/>
    <x v="0"/>
    <n v="72"/>
    <x v="1"/>
    <n v="9"/>
    <n v="0.59585299011774451"/>
    <n v="648"/>
    <n v="261.88726240370158"/>
    <x v="3"/>
  </r>
  <r>
    <s v="PBOR00555"/>
    <s v="PIZB0002"/>
    <x v="19"/>
    <x v="1"/>
    <x v="1"/>
    <n v="65"/>
    <x v="2"/>
    <n v="5"/>
    <n v="0.60661365509235443"/>
    <n v="325"/>
    <n v="127.85056209498481"/>
    <x v="5"/>
  </r>
  <r>
    <s v="PBOR00556"/>
    <s v="PIZB0003"/>
    <x v="62"/>
    <x v="2"/>
    <x v="0"/>
    <n v="250"/>
    <x v="0"/>
    <n v="1"/>
    <n v="0.42123317238197155"/>
    <n v="250"/>
    <n v="144.6917069045071"/>
    <x v="3"/>
  </r>
  <r>
    <s v="PBOR00557"/>
    <s v="PIZB0004"/>
    <x v="43"/>
    <x v="3"/>
    <x v="1"/>
    <n v="130"/>
    <x v="1"/>
    <n v="3"/>
    <n v="0.8452455343900227"/>
    <n v="390"/>
    <n v="60.354241587891146"/>
    <x v="3"/>
  </r>
  <r>
    <s v="PBOR00558"/>
    <s v="PIZB0005"/>
    <x v="65"/>
    <x v="4"/>
    <x v="0"/>
    <n v="60"/>
    <x v="2"/>
    <n v="7"/>
    <n v="7.6068890746726847E-2"/>
    <n v="420"/>
    <n v="388.05106588637472"/>
    <x v="6"/>
  </r>
  <r>
    <s v="PBOR00559"/>
    <s v="PIZB0001"/>
    <x v="57"/>
    <x v="0"/>
    <x v="1"/>
    <n v="72"/>
    <x v="0"/>
    <n v="12"/>
    <n v="0.84747383522343023"/>
    <n v="864"/>
    <n v="131.78260636695629"/>
    <x v="3"/>
  </r>
  <r>
    <s v="PBOR00560"/>
    <s v="PIZB0002"/>
    <x v="56"/>
    <x v="1"/>
    <x v="0"/>
    <n v="65"/>
    <x v="1"/>
    <n v="12"/>
    <n v="0.3222683269650839"/>
    <n v="780"/>
    <n v="528.63070496723458"/>
    <x v="4"/>
  </r>
  <r>
    <s v="PBOR00561"/>
    <s v="PIZB0003"/>
    <x v="66"/>
    <x v="2"/>
    <x v="1"/>
    <n v="250"/>
    <x v="2"/>
    <n v="3"/>
    <n v="0.64109400406266082"/>
    <n v="750"/>
    <n v="269.17949695300439"/>
    <x v="1"/>
  </r>
  <r>
    <s v="PBOR00562"/>
    <s v="PIZB0004"/>
    <x v="37"/>
    <x v="3"/>
    <x v="0"/>
    <n v="130"/>
    <x v="0"/>
    <n v="5"/>
    <n v="4.364575141681537E-3"/>
    <n v="650"/>
    <n v="647.16302615790698"/>
    <x v="5"/>
  </r>
  <r>
    <s v="PBOR00563"/>
    <s v="PIZB0001"/>
    <x v="45"/>
    <x v="0"/>
    <x v="1"/>
    <n v="72"/>
    <x v="1"/>
    <n v="4"/>
    <n v="0.5845521379030818"/>
    <n v="288"/>
    <n v="119.64898428391244"/>
    <x v="6"/>
  </r>
  <r>
    <s v="PBOR00564"/>
    <s v="PIZB0002"/>
    <x v="67"/>
    <x v="1"/>
    <x v="0"/>
    <n v="65"/>
    <x v="2"/>
    <n v="9"/>
    <n v="0.17033988478243733"/>
    <n v="585"/>
    <n v="485.35116740227414"/>
    <x v="6"/>
  </r>
  <r>
    <s v="PBOR00565"/>
    <s v="PIZB0003"/>
    <x v="43"/>
    <x v="2"/>
    <x v="1"/>
    <n v="250"/>
    <x v="0"/>
    <n v="3"/>
    <n v="0.17620246184453403"/>
    <n v="750"/>
    <n v="617.84815361659946"/>
    <x v="3"/>
  </r>
  <r>
    <s v="PBOR00566"/>
    <s v="PIZB0004"/>
    <x v="68"/>
    <x v="3"/>
    <x v="0"/>
    <n v="130"/>
    <x v="1"/>
    <n v="5"/>
    <n v="0.63318875970834954"/>
    <n v="650"/>
    <n v="238.42730618957279"/>
    <x v="5"/>
  </r>
  <r>
    <s v="PBOR00567"/>
    <s v="PIZB0005"/>
    <x v="69"/>
    <x v="4"/>
    <x v="0"/>
    <n v="60"/>
    <x v="2"/>
    <n v="4"/>
    <n v="0.49782284350273753"/>
    <n v="240"/>
    <n v="120.52251755934299"/>
    <x v="0"/>
  </r>
  <r>
    <s v="PBOR00568"/>
    <s v="PIZB0006"/>
    <x v="52"/>
    <x v="5"/>
    <x v="1"/>
    <n v="95"/>
    <x v="0"/>
    <n v="8"/>
    <n v="0.77453224424201661"/>
    <n v="760"/>
    <n v="171.35549437606738"/>
    <x v="1"/>
  </r>
  <r>
    <s v="PBOR00569"/>
    <s v="PIZB0001"/>
    <x v="19"/>
    <x v="0"/>
    <x v="1"/>
    <n v="72"/>
    <x v="1"/>
    <n v="9"/>
    <n v="0.44153654186738489"/>
    <n v="648"/>
    <n v="361.88432086993458"/>
    <x v="5"/>
  </r>
  <r>
    <s v="PBOR00570"/>
    <s v="PIZB0002"/>
    <x v="47"/>
    <x v="1"/>
    <x v="1"/>
    <n v="65"/>
    <x v="2"/>
    <n v="6"/>
    <n v="0.65305648142390393"/>
    <n v="390"/>
    <n v="135.30797224467747"/>
    <x v="2"/>
  </r>
  <r>
    <s v="PBOR00571"/>
    <s v="PIZB0003"/>
    <x v="70"/>
    <x v="2"/>
    <x v="0"/>
    <n v="250"/>
    <x v="0"/>
    <n v="4"/>
    <n v="0.71993917264145679"/>
    <n v="1000"/>
    <n v="280.06082735854318"/>
    <x v="6"/>
  </r>
  <r>
    <s v="PBOR00572"/>
    <s v="PIZB0004"/>
    <x v="71"/>
    <x v="3"/>
    <x v="0"/>
    <n v="130"/>
    <x v="1"/>
    <n v="4"/>
    <n v="0.91611446003561603"/>
    <n v="520"/>
    <n v="43.620480781479664"/>
    <x v="6"/>
  </r>
  <r>
    <s v="PBOR00573"/>
    <s v="PIZB0001"/>
    <x v="58"/>
    <x v="0"/>
    <x v="0"/>
    <n v="72"/>
    <x v="2"/>
    <n v="9"/>
    <n v="0.96635930638467338"/>
    <n v="648"/>
    <n v="21.799169462731651"/>
    <x v="2"/>
  </r>
  <r>
    <s v="PBOR00574"/>
    <s v="PIZB0002"/>
    <x v="19"/>
    <x v="1"/>
    <x v="0"/>
    <n v="65"/>
    <x v="0"/>
    <n v="8"/>
    <n v="0.2499067715026716"/>
    <n v="520"/>
    <n v="390.04847881861076"/>
    <x v="5"/>
  </r>
  <r>
    <s v="PBOR00575"/>
    <s v="PIZB0003"/>
    <x v="32"/>
    <x v="2"/>
    <x v="0"/>
    <n v="250"/>
    <x v="1"/>
    <n v="1"/>
    <n v="0.64500905989434743"/>
    <n v="250"/>
    <n v="88.747735026413139"/>
    <x v="6"/>
  </r>
  <r>
    <s v="PBOR00576"/>
    <s v="PIZB0004"/>
    <x v="60"/>
    <x v="3"/>
    <x v="0"/>
    <n v="130"/>
    <x v="2"/>
    <n v="3"/>
    <n v="0.84546079453654999"/>
    <n v="390"/>
    <n v="60.270290130745508"/>
    <x v="4"/>
  </r>
  <r>
    <s v="PBOR00577"/>
    <s v="PIZB0005"/>
    <x v="21"/>
    <x v="4"/>
    <x v="0"/>
    <n v="60"/>
    <x v="0"/>
    <n v="13"/>
    <n v="0.24690889000174698"/>
    <n v="780"/>
    <n v="587.41106579863731"/>
    <x v="0"/>
  </r>
  <r>
    <s v="PBOR00578"/>
    <s v="PIZB0001"/>
    <x v="53"/>
    <x v="0"/>
    <x v="0"/>
    <n v="72"/>
    <x v="1"/>
    <n v="4"/>
    <n v="0.73479339033707769"/>
    <n v="288"/>
    <n v="76.379503582921629"/>
    <x v="4"/>
  </r>
  <r>
    <s v="PBOR00579"/>
    <s v="PIZB0002"/>
    <x v="72"/>
    <x v="1"/>
    <x v="0"/>
    <n v="65"/>
    <x v="2"/>
    <n v="12"/>
    <n v="0.8644544886533887"/>
    <n v="780"/>
    <n v="105.72549885035681"/>
    <x v="1"/>
  </r>
  <r>
    <s v="PBOR00580"/>
    <s v="PIZB0003"/>
    <x v="32"/>
    <x v="2"/>
    <x v="1"/>
    <n v="250"/>
    <x v="0"/>
    <n v="3"/>
    <n v="0.62201923640746848"/>
    <n v="750"/>
    <n v="283.48557269439863"/>
    <x v="6"/>
  </r>
  <r>
    <s v="PBOR00581"/>
    <s v="PIZB0004"/>
    <x v="73"/>
    <x v="3"/>
    <x v="0"/>
    <n v="130"/>
    <x v="1"/>
    <n v="6"/>
    <n v="0.50972363537595267"/>
    <n v="780"/>
    <n v="382.41556440675691"/>
    <x v="0"/>
  </r>
  <r>
    <s v="PBOR00582"/>
    <s v="PIZB0001"/>
    <x v="74"/>
    <x v="0"/>
    <x v="0"/>
    <n v="72"/>
    <x v="2"/>
    <n v="5"/>
    <n v="0.91004082313116941"/>
    <n v="360"/>
    <n v="32.385303672779017"/>
    <x v="5"/>
  </r>
  <r>
    <s v="PBOR00583"/>
    <s v="PIZB0002"/>
    <x v="75"/>
    <x v="1"/>
    <x v="0"/>
    <n v="65"/>
    <x v="0"/>
    <n v="11"/>
    <n v="0.13927608442922534"/>
    <n v="715"/>
    <n v="615.41759963310392"/>
    <x v="1"/>
  </r>
  <r>
    <s v="PBOR00584"/>
    <s v="PIZB0003"/>
    <x v="76"/>
    <x v="2"/>
    <x v="0"/>
    <n v="250"/>
    <x v="1"/>
    <n v="2"/>
    <n v="0.58157074960287292"/>
    <n v="500"/>
    <n v="209.21462519856354"/>
    <x v="6"/>
  </r>
  <r>
    <s v="PBOR00585"/>
    <s v="PIZB0004"/>
    <x v="61"/>
    <x v="3"/>
    <x v="0"/>
    <n v="130"/>
    <x v="2"/>
    <n v="2"/>
    <n v="0.11287157373124423"/>
    <n v="260"/>
    <n v="230.65339082987649"/>
    <x v="1"/>
  </r>
  <r>
    <s v="PBOR00586"/>
    <s v="PIZB0005"/>
    <x v="71"/>
    <x v="4"/>
    <x v="1"/>
    <n v="60"/>
    <x v="0"/>
    <n v="10"/>
    <n v="0.19980473250702802"/>
    <n v="600"/>
    <n v="480.1171604957832"/>
    <x v="6"/>
  </r>
  <r>
    <s v="PBOR00587"/>
    <s v="PIZB0006"/>
    <x v="59"/>
    <x v="5"/>
    <x v="0"/>
    <n v="95"/>
    <x v="1"/>
    <n v="6"/>
    <n v="0.65260704529474023"/>
    <n v="570"/>
    <n v="198.01398418199807"/>
    <x v="3"/>
  </r>
  <r>
    <s v="PBOR00588"/>
    <s v="PIZB0001"/>
    <x v="77"/>
    <x v="0"/>
    <x v="0"/>
    <n v="72"/>
    <x v="2"/>
    <n v="7"/>
    <n v="0.72819520869830312"/>
    <n v="504"/>
    <n v="136.98961481605522"/>
    <x v="3"/>
  </r>
  <r>
    <s v="PBOR00589"/>
    <s v="PIZB0002"/>
    <x v="19"/>
    <x v="1"/>
    <x v="0"/>
    <n v="65"/>
    <x v="0"/>
    <n v="8"/>
    <n v="0.65449037978569624"/>
    <n v="520"/>
    <n v="179.66500251143796"/>
    <x v="5"/>
  </r>
  <r>
    <s v="PBOR00590"/>
    <s v="PIZB0003"/>
    <x v="70"/>
    <x v="2"/>
    <x v="1"/>
    <n v="250"/>
    <x v="1"/>
    <n v="4"/>
    <n v="0.56416291652095985"/>
    <n v="1000"/>
    <n v="435.83708347904013"/>
    <x v="6"/>
  </r>
  <r>
    <s v="PBOR00591"/>
    <s v="PIZB0004"/>
    <x v="46"/>
    <x v="3"/>
    <x v="1"/>
    <n v="130"/>
    <x v="2"/>
    <n v="6"/>
    <n v="0.66747043219797519"/>
    <n v="780"/>
    <n v="259.37306288557937"/>
    <x v="1"/>
  </r>
  <r>
    <s v="PBOR00592"/>
    <s v="PIZB0001"/>
    <x v="39"/>
    <x v="0"/>
    <x v="1"/>
    <n v="72"/>
    <x v="0"/>
    <n v="4"/>
    <n v="0.75039961503492181"/>
    <n v="288"/>
    <n v="71.884910869942516"/>
    <x v="6"/>
  </r>
  <r>
    <s v="PBOR00593"/>
    <s v="PIZB0002"/>
    <x v="39"/>
    <x v="1"/>
    <x v="1"/>
    <n v="65"/>
    <x v="1"/>
    <n v="9"/>
    <n v="0.76973709410362112"/>
    <n v="585"/>
    <n v="134.70379994938165"/>
    <x v="6"/>
  </r>
  <r>
    <s v="PBOR00594"/>
    <s v="PIZB0003"/>
    <x v="19"/>
    <x v="2"/>
    <x v="1"/>
    <n v="250"/>
    <x v="2"/>
    <n v="1"/>
    <n v="0.10741848912652951"/>
    <n v="250"/>
    <n v="223.14537771836763"/>
    <x v="5"/>
  </r>
  <r>
    <s v="PBOR00595"/>
    <s v="PIZB0004"/>
    <x v="26"/>
    <x v="3"/>
    <x v="1"/>
    <n v="130"/>
    <x v="0"/>
    <n v="3"/>
    <n v="0.73853096979047439"/>
    <n v="390"/>
    <n v="101.97292178171499"/>
    <x v="1"/>
  </r>
  <r>
    <s v="PBOR00596"/>
    <s v="PIZB0001"/>
    <x v="51"/>
    <x v="0"/>
    <x v="0"/>
    <n v="72"/>
    <x v="0"/>
    <n v="6"/>
    <n v="0.52728901278825935"/>
    <n v="432"/>
    <n v="204.21114647547196"/>
    <x v="0"/>
  </r>
  <r>
    <s v="PBOR00597"/>
    <s v="PIZB0002"/>
    <x v="51"/>
    <x v="1"/>
    <x v="1"/>
    <n v="65"/>
    <x v="1"/>
    <n v="13"/>
    <n v="0.56617613947880785"/>
    <n v="845"/>
    <n v="366.58116214040734"/>
    <x v="0"/>
  </r>
  <r>
    <s v="PBOR00598"/>
    <s v="PIZB0003"/>
    <x v="62"/>
    <x v="2"/>
    <x v="0"/>
    <n v="250"/>
    <x v="2"/>
    <n v="1"/>
    <n v="0.69322235970161461"/>
    <n v="250"/>
    <n v="76.694410074596348"/>
    <x v="3"/>
  </r>
  <r>
    <s v="PBOR00599"/>
    <s v="PIZB0004"/>
    <x v="54"/>
    <x v="3"/>
    <x v="1"/>
    <n v="130"/>
    <x v="0"/>
    <n v="3"/>
    <n v="0.12430536223035393"/>
    <n v="390"/>
    <n v="341.52090873016198"/>
    <x v="0"/>
  </r>
  <r>
    <s v="PBOR00600"/>
    <s v="PIZB0001"/>
    <x v="53"/>
    <x v="0"/>
    <x v="0"/>
    <n v="72"/>
    <x v="1"/>
    <n v="6"/>
    <n v="0.26933613953455915"/>
    <n v="432"/>
    <n v="315.64678772107044"/>
    <x v="4"/>
  </r>
  <r>
    <s v="PBOR00601"/>
    <s v="PIZB0002"/>
    <x v="53"/>
    <x v="1"/>
    <x v="1"/>
    <n v="65"/>
    <x v="2"/>
    <n v="12"/>
    <n v="9.0632940246449412E-2"/>
    <n v="780"/>
    <n v="709.30630660776944"/>
    <x v="4"/>
  </r>
  <r>
    <s v="PBOR00602"/>
    <s v="PIZB0003"/>
    <x v="67"/>
    <x v="2"/>
    <x v="0"/>
    <n v="250"/>
    <x v="0"/>
    <n v="3"/>
    <n v="0.33590976474164158"/>
    <n v="750"/>
    <n v="498.06767644376879"/>
    <x v="6"/>
  </r>
  <r>
    <s v="PBOR00603"/>
    <s v="PIZB0004"/>
    <x v="30"/>
    <x v="3"/>
    <x v="1"/>
    <n v="130"/>
    <x v="1"/>
    <n v="4"/>
    <n v="0.67644862690015517"/>
    <n v="520"/>
    <n v="168.24671401191932"/>
    <x v="4"/>
  </r>
  <r>
    <s v="PBOR00604"/>
    <s v="PIZB0005"/>
    <x v="52"/>
    <x v="4"/>
    <x v="0"/>
    <n v="60"/>
    <x v="2"/>
    <n v="11"/>
    <n v="0.64885340858854679"/>
    <n v="660"/>
    <n v="231.75675033155912"/>
    <x v="1"/>
  </r>
  <r>
    <s v="PBOR00605"/>
    <s v="PIZB0001"/>
    <x v="66"/>
    <x v="0"/>
    <x v="1"/>
    <n v="72"/>
    <x v="0"/>
    <n v="3"/>
    <n v="0.25940505157974469"/>
    <n v="216"/>
    <n v="159.96850885877515"/>
    <x v="1"/>
  </r>
  <r>
    <s v="PBOR00606"/>
    <s v="PIZB0002"/>
    <x v="56"/>
    <x v="1"/>
    <x v="0"/>
    <n v="65"/>
    <x v="1"/>
    <n v="8"/>
    <n v="0.37955653371736764"/>
    <n v="520"/>
    <n v="322.63060246696881"/>
    <x v="4"/>
  </r>
  <r>
    <s v="PBOR00607"/>
    <s v="PIZB0003"/>
    <x v="53"/>
    <x v="2"/>
    <x v="1"/>
    <n v="250"/>
    <x v="2"/>
    <n v="3"/>
    <n v="0.967199916803548"/>
    <n v="750"/>
    <n v="24.600062397339002"/>
    <x v="4"/>
  </r>
  <r>
    <s v="PBOR00608"/>
    <s v="PIZB0004"/>
    <x v="61"/>
    <x v="3"/>
    <x v="0"/>
    <n v="130"/>
    <x v="0"/>
    <n v="2"/>
    <n v="0.90898543736346427"/>
    <n v="260"/>
    <n v="23.663786285499292"/>
    <x v="1"/>
  </r>
  <r>
    <s v="PBOR00609"/>
    <s v="PIZB0001"/>
    <x v="66"/>
    <x v="0"/>
    <x v="1"/>
    <n v="72"/>
    <x v="1"/>
    <n v="12"/>
    <n v="0.5903380103978213"/>
    <n v="864"/>
    <n v="353.94795901628243"/>
    <x v="1"/>
  </r>
  <r>
    <s v="PBOR00610"/>
    <s v="PIZB0002"/>
    <x v="53"/>
    <x v="1"/>
    <x v="0"/>
    <n v="65"/>
    <x v="2"/>
    <n v="13"/>
    <n v="0.55136622864423768"/>
    <n v="845"/>
    <n v="379.09553679561918"/>
    <x v="4"/>
  </r>
  <r>
    <s v="PBOR00611"/>
    <s v="PIZB0003"/>
    <x v="44"/>
    <x v="2"/>
    <x v="1"/>
    <n v="250"/>
    <x v="0"/>
    <n v="2"/>
    <n v="0.49863041973494682"/>
    <n v="500"/>
    <n v="250.68479013252659"/>
    <x v="2"/>
  </r>
  <r>
    <s v="PBOR00612"/>
    <s v="PIZB0004"/>
    <x v="78"/>
    <x v="3"/>
    <x v="0"/>
    <n v="130"/>
    <x v="1"/>
    <n v="4"/>
    <n v="0.97941470243342399"/>
    <n v="520"/>
    <n v="10.704354734619525"/>
    <x v="4"/>
  </r>
  <r>
    <s v="PBOR00613"/>
    <s v="PIZB0005"/>
    <x v="41"/>
    <x v="4"/>
    <x v="0"/>
    <n v="60"/>
    <x v="2"/>
    <n v="4"/>
    <n v="0.85461552452865353"/>
    <n v="240"/>
    <n v="34.89227411312315"/>
    <x v="0"/>
  </r>
  <r>
    <s v="PBOR00614"/>
    <s v="PIZB0006"/>
    <x v="62"/>
    <x v="5"/>
    <x v="1"/>
    <n v="95"/>
    <x v="0"/>
    <n v="8"/>
    <n v="0.61431923426140422"/>
    <n v="760"/>
    <n v="293.1173819613328"/>
    <x v="3"/>
  </r>
  <r>
    <s v="PBOR00615"/>
    <s v="PIZB0001"/>
    <x v="72"/>
    <x v="0"/>
    <x v="1"/>
    <n v="72"/>
    <x v="1"/>
    <n v="10"/>
    <n v="9.0140556124701399E-2"/>
    <n v="720"/>
    <n v="655.09879959021498"/>
    <x v="1"/>
  </r>
  <r>
    <s v="PBOR00616"/>
    <s v="PIZB0002"/>
    <x v="30"/>
    <x v="1"/>
    <x v="1"/>
    <n v="65"/>
    <x v="2"/>
    <n v="7"/>
    <n v="0.9730676498361942"/>
    <n v="455"/>
    <n v="12.254219324531638"/>
    <x v="4"/>
  </r>
  <r>
    <s v="PBOR00617"/>
    <s v="PIZB0003"/>
    <x v="69"/>
    <x v="2"/>
    <x v="0"/>
    <n v="250"/>
    <x v="0"/>
    <n v="3"/>
    <n v="0.2774866508411673"/>
    <n v="750"/>
    <n v="541.88501186912447"/>
    <x v="0"/>
  </r>
  <r>
    <s v="PBOR00618"/>
    <s v="PIZB0004"/>
    <x v="71"/>
    <x v="3"/>
    <x v="0"/>
    <n v="130"/>
    <x v="1"/>
    <n v="6"/>
    <n v="0.63620651170366804"/>
    <n v="780"/>
    <n v="283.75892087113891"/>
    <x v="6"/>
  </r>
  <r>
    <s v="PBOR00619"/>
    <s v="PIZB0001"/>
    <x v="67"/>
    <x v="0"/>
    <x v="0"/>
    <n v="72"/>
    <x v="2"/>
    <n v="7"/>
    <n v="0.96477240512678442"/>
    <n v="504"/>
    <n v="17.754707816100655"/>
    <x v="6"/>
  </r>
  <r>
    <s v="PBOR00620"/>
    <s v="PIZB0002"/>
    <x v="68"/>
    <x v="1"/>
    <x v="0"/>
    <n v="65"/>
    <x v="0"/>
    <n v="3"/>
    <n v="0.87158031323530472"/>
    <n v="195"/>
    <n v="25.04183891911558"/>
    <x v="5"/>
  </r>
  <r>
    <s v="PBOR00621"/>
    <s v="PIZB0003"/>
    <x v="48"/>
    <x v="2"/>
    <x v="0"/>
    <n v="250"/>
    <x v="1"/>
    <n v="1"/>
    <n v="0.81983525151667869"/>
    <n v="250"/>
    <n v="45.04118712083033"/>
    <x v="4"/>
  </r>
  <r>
    <s v="PBOR00622"/>
    <s v="PIZB0004"/>
    <x v="26"/>
    <x v="3"/>
    <x v="0"/>
    <n v="130"/>
    <x v="2"/>
    <n v="5"/>
    <n v="0.58593884147586828"/>
    <n v="650"/>
    <n v="269.1397530406856"/>
    <x v="1"/>
  </r>
  <r>
    <s v="PBOR00623"/>
    <s v="PIZB0005"/>
    <x v="76"/>
    <x v="4"/>
    <x v="0"/>
    <n v="60"/>
    <x v="0"/>
    <n v="7"/>
    <n v="0.33463447814211889"/>
    <n v="420"/>
    <n v="279.45351918031008"/>
    <x v="6"/>
  </r>
  <r>
    <s v="PBOR00624"/>
    <s v="PIZB0001"/>
    <x v="45"/>
    <x v="0"/>
    <x v="0"/>
    <n v="72"/>
    <x v="1"/>
    <n v="7"/>
    <n v="0.59639729182163859"/>
    <n v="504"/>
    <n v="203.41576492189415"/>
    <x v="6"/>
  </r>
  <r>
    <s v="PBOR00625"/>
    <s v="PIZB0002"/>
    <x v="63"/>
    <x v="1"/>
    <x v="0"/>
    <n v="65"/>
    <x v="2"/>
    <n v="11"/>
    <n v="0.35590615471885056"/>
    <n v="715"/>
    <n v="460.52709937602185"/>
    <x v="3"/>
  </r>
  <r>
    <s v="PBOR00626"/>
    <s v="PIZB0003"/>
    <x v="58"/>
    <x v="2"/>
    <x v="1"/>
    <n v="250"/>
    <x v="0"/>
    <n v="1"/>
    <n v="0.32386525267389243"/>
    <n v="250"/>
    <n v="169.03368683152689"/>
    <x v="2"/>
  </r>
  <r>
    <s v="PBOR00627"/>
    <s v="PIZB0004"/>
    <x v="62"/>
    <x v="3"/>
    <x v="0"/>
    <n v="130"/>
    <x v="1"/>
    <n v="5"/>
    <n v="0.74980112915796449"/>
    <n v="650"/>
    <n v="162.62926604732309"/>
    <x v="3"/>
  </r>
  <r>
    <s v="PBOR00628"/>
    <s v="PIZB0001"/>
    <x v="79"/>
    <x v="0"/>
    <x v="0"/>
    <n v="72"/>
    <x v="2"/>
    <n v="11"/>
    <n v="0.81775184327396488"/>
    <n v="792"/>
    <n v="144.34054012701981"/>
    <x v="1"/>
  </r>
  <r>
    <s v="PBOR00629"/>
    <s v="PIZB0002"/>
    <x v="70"/>
    <x v="1"/>
    <x v="0"/>
    <n v="65"/>
    <x v="0"/>
    <n v="7"/>
    <n v="0.8627161987029679"/>
    <n v="455"/>
    <n v="62.464129590149611"/>
    <x v="6"/>
  </r>
  <r>
    <s v="PBOR00630"/>
    <s v="PIZB0003"/>
    <x v="64"/>
    <x v="2"/>
    <x v="0"/>
    <n v="250"/>
    <x v="1"/>
    <n v="2"/>
    <n v="0.40407302555640467"/>
    <n v="500"/>
    <n v="297.96348722179766"/>
    <x v="4"/>
  </r>
  <r>
    <s v="PBOR00631"/>
    <s v="PIZB0004"/>
    <x v="37"/>
    <x v="3"/>
    <x v="0"/>
    <n v="130"/>
    <x v="2"/>
    <n v="3"/>
    <n v="8.2418752124752581E-2"/>
    <n v="390"/>
    <n v="357.85668667134649"/>
    <x v="5"/>
  </r>
  <r>
    <s v="PBOR00632"/>
    <s v="PIZB0005"/>
    <x v="54"/>
    <x v="4"/>
    <x v="1"/>
    <n v="60"/>
    <x v="0"/>
    <n v="4"/>
    <n v="0.95533708767852177"/>
    <n v="240"/>
    <n v="10.719098957154776"/>
    <x v="0"/>
  </r>
  <r>
    <s v="PBOR00633"/>
    <s v="PIZB0006"/>
    <x v="40"/>
    <x v="5"/>
    <x v="0"/>
    <n v="95"/>
    <x v="1"/>
    <n v="4"/>
    <n v="0.24249982753226162"/>
    <n v="380"/>
    <n v="287.85006553774059"/>
    <x v="5"/>
  </r>
  <r>
    <s v="PBOR00634"/>
    <s v="PIZB0001"/>
    <x v="43"/>
    <x v="0"/>
    <x v="0"/>
    <n v="72"/>
    <x v="2"/>
    <n v="8"/>
    <n v="0.20428286709020138"/>
    <n v="576"/>
    <n v="458.333068556044"/>
    <x v="3"/>
  </r>
  <r>
    <s v="PBOR00635"/>
    <s v="PIZB0002"/>
    <x v="50"/>
    <x v="1"/>
    <x v="0"/>
    <n v="65"/>
    <x v="0"/>
    <n v="12"/>
    <n v="0.15233884770748141"/>
    <n v="780"/>
    <n v="661.17569878816448"/>
    <x v="5"/>
  </r>
  <r>
    <s v="PBOR00636"/>
    <s v="PIZB0003"/>
    <x v="21"/>
    <x v="2"/>
    <x v="1"/>
    <n v="250"/>
    <x v="1"/>
    <n v="3"/>
    <n v="0.73652974415877381"/>
    <n v="750"/>
    <n v="197.60269188091965"/>
    <x v="0"/>
  </r>
  <r>
    <s v="PBOR00637"/>
    <s v="PIZB0004"/>
    <x v="80"/>
    <x v="3"/>
    <x v="1"/>
    <n v="130"/>
    <x v="2"/>
    <n v="2"/>
    <n v="0.35965464128226066"/>
    <n v="260"/>
    <n v="166.48979326661222"/>
    <x v="5"/>
  </r>
  <r>
    <s v="PBOR00638"/>
    <s v="PIZB0001"/>
    <x v="17"/>
    <x v="0"/>
    <x v="1"/>
    <n v="72"/>
    <x v="0"/>
    <n v="10"/>
    <n v="6.1535086602273359E-2"/>
    <n v="720"/>
    <n v="675.69473764636314"/>
    <x v="2"/>
  </r>
  <r>
    <s v="PBOR00639"/>
    <s v="PIZB0002"/>
    <x v="48"/>
    <x v="1"/>
    <x v="1"/>
    <n v="65"/>
    <x v="1"/>
    <n v="9"/>
    <n v="0.41801619526866196"/>
    <n v="585"/>
    <n v="340.46052576783273"/>
    <x v="4"/>
  </r>
  <r>
    <s v="PBOR00640"/>
    <s v="PIZB0003"/>
    <x v="77"/>
    <x v="2"/>
    <x v="1"/>
    <n v="250"/>
    <x v="2"/>
    <n v="2"/>
    <n v="0.97710376211790873"/>
    <n v="500"/>
    <n v="11.448118941045637"/>
    <x v="3"/>
  </r>
  <r>
    <s v="PBOR00641"/>
    <s v="PIZB0004"/>
    <x v="40"/>
    <x v="3"/>
    <x v="1"/>
    <n v="130"/>
    <x v="0"/>
    <n v="3"/>
    <n v="0.85241205883154569"/>
    <n v="390"/>
    <n v="57.559297055697179"/>
    <x v="5"/>
  </r>
  <r>
    <s v="PBOR00642"/>
    <s v="PIZB0001"/>
    <x v="46"/>
    <x v="0"/>
    <x v="0"/>
    <n v="72"/>
    <x v="0"/>
    <n v="9"/>
    <n v="0.64507525286599521"/>
    <n v="648"/>
    <n v="229.99123614283511"/>
    <x v="1"/>
  </r>
  <r>
    <s v="PBOR00643"/>
    <s v="PIZB0002"/>
    <x v="26"/>
    <x v="1"/>
    <x v="1"/>
    <n v="65"/>
    <x v="1"/>
    <n v="6"/>
    <n v="1.594251613242359E-2"/>
    <n v="390"/>
    <n v="383.78241870835478"/>
    <x v="1"/>
  </r>
  <r>
    <s v="PBOR00644"/>
    <s v="PIZB0003"/>
    <x v="67"/>
    <x v="2"/>
    <x v="0"/>
    <n v="250"/>
    <x v="2"/>
    <n v="3"/>
    <n v="0.38198792469963183"/>
    <n v="750"/>
    <n v="463.50905647527611"/>
    <x v="6"/>
  </r>
  <r>
    <s v="PBOR00645"/>
    <s v="PIZB0004"/>
    <x v="29"/>
    <x v="3"/>
    <x v="1"/>
    <n v="130"/>
    <x v="0"/>
    <n v="3"/>
    <n v="0.15310926574953732"/>
    <n v="390"/>
    <n v="330.28738635768048"/>
    <x v="2"/>
  </r>
  <r>
    <s v="PBOR00646"/>
    <s v="PIZB0001"/>
    <x v="58"/>
    <x v="0"/>
    <x v="0"/>
    <n v="72"/>
    <x v="1"/>
    <n v="11"/>
    <n v="0.4057756481095337"/>
    <n v="792"/>
    <n v="470.62568669724931"/>
    <x v="2"/>
  </r>
  <r>
    <s v="PBOR00647"/>
    <s v="PIZB0002"/>
    <x v="48"/>
    <x v="1"/>
    <x v="1"/>
    <n v="65"/>
    <x v="2"/>
    <n v="13"/>
    <n v="0.34463807708672412"/>
    <n v="845"/>
    <n v="553.78082486171809"/>
    <x v="4"/>
  </r>
  <r>
    <s v="PBOR00648"/>
    <s v="PIZB0003"/>
    <x v="44"/>
    <x v="2"/>
    <x v="0"/>
    <n v="250"/>
    <x v="0"/>
    <n v="3"/>
    <n v="0.76722012877706247"/>
    <n v="750"/>
    <n v="174.58490341720315"/>
    <x v="2"/>
  </r>
  <r>
    <s v="PBOR00649"/>
    <s v="PIZB0004"/>
    <x v="81"/>
    <x v="3"/>
    <x v="1"/>
    <n v="130"/>
    <x v="1"/>
    <n v="3"/>
    <n v="4.9067010536678168E-2"/>
    <n v="390"/>
    <n v="370.86386589069554"/>
    <x v="2"/>
  </r>
  <r>
    <s v="PBOR00650"/>
    <s v="PIZB0005"/>
    <x v="71"/>
    <x v="4"/>
    <x v="0"/>
    <n v="60"/>
    <x v="2"/>
    <n v="6"/>
    <n v="0.89690060017136153"/>
    <n v="360"/>
    <n v="37.115783938309846"/>
    <x v="6"/>
  </r>
  <r>
    <s v="PBOR00651"/>
    <s v="PIZB0001"/>
    <x v="70"/>
    <x v="0"/>
    <x v="1"/>
    <n v="72"/>
    <x v="0"/>
    <n v="6"/>
    <n v="0.53890175979164856"/>
    <n v="432"/>
    <n v="199.19443977000782"/>
    <x v="6"/>
  </r>
  <r>
    <s v="PBOR00652"/>
    <s v="PIZB0002"/>
    <x v="70"/>
    <x v="1"/>
    <x v="0"/>
    <n v="65"/>
    <x v="1"/>
    <n v="5"/>
    <n v="0.56849409509993287"/>
    <n v="325"/>
    <n v="140.23941909252181"/>
    <x v="6"/>
  </r>
  <r>
    <s v="PBOR00653"/>
    <s v="PIZB0003"/>
    <x v="73"/>
    <x v="2"/>
    <x v="1"/>
    <n v="250"/>
    <x v="2"/>
    <n v="3"/>
    <n v="6.4734935363510271E-2"/>
    <n v="750"/>
    <n v="701.44879847736729"/>
    <x v="0"/>
  </r>
  <r>
    <s v="PBOR00654"/>
    <s v="PIZB0004"/>
    <x v="81"/>
    <x v="3"/>
    <x v="0"/>
    <n v="130"/>
    <x v="0"/>
    <n v="6"/>
    <n v="0.32877031001191293"/>
    <n v="780"/>
    <n v="523.55915819070788"/>
    <x v="2"/>
  </r>
  <r>
    <s v="PBOR00655"/>
    <s v="PIZB0001"/>
    <x v="29"/>
    <x v="0"/>
    <x v="1"/>
    <n v="72"/>
    <x v="1"/>
    <n v="5"/>
    <n v="9.094957609771448E-2"/>
    <n v="360"/>
    <n v="327.25815260482278"/>
    <x v="2"/>
  </r>
  <r>
    <s v="PBOR00656"/>
    <s v="PIZB0002"/>
    <x v="43"/>
    <x v="1"/>
    <x v="0"/>
    <n v="65"/>
    <x v="2"/>
    <n v="10"/>
    <n v="0.80929386716461593"/>
    <n v="650"/>
    <n v="123.95898634299965"/>
    <x v="3"/>
  </r>
  <r>
    <s v="PBOR00657"/>
    <s v="PIZB0003"/>
    <x v="40"/>
    <x v="2"/>
    <x v="1"/>
    <n v="250"/>
    <x v="0"/>
    <n v="2"/>
    <n v="0.45134136357584087"/>
    <n v="500"/>
    <n v="274.32931821207956"/>
    <x v="5"/>
  </r>
  <r>
    <s v="PBOR00658"/>
    <s v="PIZB0004"/>
    <x v="78"/>
    <x v="3"/>
    <x v="0"/>
    <n v="130"/>
    <x v="1"/>
    <n v="2"/>
    <n v="1.5109375019107807E-3"/>
    <n v="260"/>
    <n v="259.60715624950319"/>
    <x v="4"/>
  </r>
  <r>
    <s v="PBOR00659"/>
    <s v="PIZB0005"/>
    <x v="43"/>
    <x v="4"/>
    <x v="0"/>
    <n v="60"/>
    <x v="2"/>
    <n v="10"/>
    <n v="0.32431947601628186"/>
    <n v="600"/>
    <n v="405.40831439023088"/>
    <x v="3"/>
  </r>
  <r>
    <s v="PBOR00660"/>
    <s v="PIZB0006"/>
    <x v="48"/>
    <x v="5"/>
    <x v="1"/>
    <n v="95"/>
    <x v="0"/>
    <n v="3"/>
    <n v="9.9101328978890124E-2"/>
    <n v="285"/>
    <n v="256.75612124101633"/>
    <x v="4"/>
  </r>
  <r>
    <s v="PBOR00661"/>
    <s v="PIZB0001"/>
    <x v="42"/>
    <x v="0"/>
    <x v="1"/>
    <n v="72"/>
    <x v="1"/>
    <n v="6"/>
    <n v="0.78349504650231683"/>
    <n v="432"/>
    <n v="93.530139910999125"/>
    <x v="0"/>
  </r>
  <r>
    <s v="PBOR00662"/>
    <s v="PIZB0002"/>
    <x v="59"/>
    <x v="1"/>
    <x v="1"/>
    <n v="65"/>
    <x v="2"/>
    <n v="8"/>
    <n v="0.54306660863789569"/>
    <n v="520"/>
    <n v="237.60536350829423"/>
    <x v="3"/>
  </r>
  <r>
    <s v="PBOR00663"/>
    <s v="PIZB0003"/>
    <x v="61"/>
    <x v="2"/>
    <x v="0"/>
    <n v="250"/>
    <x v="0"/>
    <n v="2"/>
    <n v="0.51998636416064947"/>
    <n v="500"/>
    <n v="240.00681791967526"/>
    <x v="1"/>
  </r>
  <r>
    <s v="PBOR00664"/>
    <s v="PIZB0004"/>
    <x v="77"/>
    <x v="3"/>
    <x v="0"/>
    <n v="130"/>
    <x v="1"/>
    <n v="2"/>
    <n v="8.3964777109349797E-2"/>
    <n v="260"/>
    <n v="238.16915795156905"/>
    <x v="3"/>
  </r>
  <r>
    <s v="PBOR00665"/>
    <s v="PIZB0001"/>
    <x v="69"/>
    <x v="0"/>
    <x v="0"/>
    <n v="72"/>
    <x v="2"/>
    <n v="9"/>
    <n v="0.66746019397673673"/>
    <n v="648"/>
    <n v="215.48579430307461"/>
    <x v="0"/>
  </r>
  <r>
    <s v="PBOR00666"/>
    <s v="PIZB0002"/>
    <x v="19"/>
    <x v="1"/>
    <x v="0"/>
    <n v="65"/>
    <x v="0"/>
    <n v="4"/>
    <n v="0.46001804926410128"/>
    <n v="260"/>
    <n v="140.39530719133367"/>
    <x v="5"/>
  </r>
  <r>
    <s v="PBOR00667"/>
    <s v="PIZB0003"/>
    <x v="46"/>
    <x v="2"/>
    <x v="0"/>
    <n v="250"/>
    <x v="1"/>
    <n v="1"/>
    <n v="0.59790952637820638"/>
    <n v="250"/>
    <n v="100.52261840544841"/>
    <x v="1"/>
  </r>
  <r>
    <s v="PBOR00668"/>
    <s v="PIZB0004"/>
    <x v="69"/>
    <x v="3"/>
    <x v="0"/>
    <n v="130"/>
    <x v="2"/>
    <n v="5"/>
    <n v="0.36540936899327559"/>
    <n v="650"/>
    <n v="412.48391015437085"/>
    <x v="0"/>
  </r>
  <r>
    <s v="PBOR00669"/>
    <s v="PIZB0005"/>
    <x v="54"/>
    <x v="4"/>
    <x v="0"/>
    <n v="60"/>
    <x v="0"/>
    <n v="12"/>
    <n v="0.40368285321176833"/>
    <n v="720"/>
    <n v="429.34834568752677"/>
    <x v="0"/>
  </r>
  <r>
    <s v="PBOR00670"/>
    <s v="PIZB0001"/>
    <x v="71"/>
    <x v="0"/>
    <x v="0"/>
    <n v="72"/>
    <x v="1"/>
    <n v="6"/>
    <n v="0.75973187438172407"/>
    <n v="432"/>
    <n v="103.7958302670952"/>
    <x v="6"/>
  </r>
  <r>
    <s v="PBOR00671"/>
    <s v="PIZB0002"/>
    <x v="48"/>
    <x v="1"/>
    <x v="0"/>
    <n v="65"/>
    <x v="2"/>
    <n v="6"/>
    <n v="0.52504624980821601"/>
    <n v="390"/>
    <n v="185.23196257479574"/>
    <x v="4"/>
  </r>
  <r>
    <s v="PBOR00672"/>
    <s v="PIZB0003"/>
    <x v="37"/>
    <x v="2"/>
    <x v="1"/>
    <n v="250"/>
    <x v="0"/>
    <n v="2"/>
    <n v="0.12467055498412982"/>
    <n v="500"/>
    <n v="437.6647225079351"/>
    <x v="5"/>
  </r>
  <r>
    <s v="PBOR00673"/>
    <s v="PIZB0004"/>
    <x v="49"/>
    <x v="3"/>
    <x v="0"/>
    <n v="130"/>
    <x v="1"/>
    <n v="4"/>
    <n v="0.19430321300389863"/>
    <n v="520"/>
    <n v="418.96232923797271"/>
    <x v="2"/>
  </r>
  <r>
    <s v="PBOR00674"/>
    <s v="PIZB0001"/>
    <x v="50"/>
    <x v="0"/>
    <x v="0"/>
    <n v="72"/>
    <x v="2"/>
    <n v="10"/>
    <n v="0.42308086651104171"/>
    <n v="720"/>
    <n v="415.38177611204998"/>
    <x v="5"/>
  </r>
  <r>
    <s v="PBOR00675"/>
    <s v="PIZB0002"/>
    <x v="67"/>
    <x v="1"/>
    <x v="0"/>
    <n v="65"/>
    <x v="0"/>
    <n v="8"/>
    <n v="0.845349159852679"/>
    <n v="520"/>
    <n v="80.418436876606918"/>
    <x v="6"/>
  </r>
  <r>
    <s v="PBOR00676"/>
    <s v="PIZB0003"/>
    <x v="68"/>
    <x v="2"/>
    <x v="0"/>
    <n v="250"/>
    <x v="1"/>
    <n v="2"/>
    <n v="0.59149328185216321"/>
    <n v="500"/>
    <n v="204.2533590739184"/>
    <x v="5"/>
  </r>
  <r>
    <s v="PBOR00677"/>
    <s v="PIZB0004"/>
    <x v="68"/>
    <x v="3"/>
    <x v="0"/>
    <n v="130"/>
    <x v="2"/>
    <n v="2"/>
    <n v="0.55686626680478191"/>
    <n v="260"/>
    <n v="115.2147706307567"/>
    <x v="5"/>
  </r>
  <r>
    <s v="PBOR00678"/>
    <s v="PIZB0005"/>
    <x v="47"/>
    <x v="4"/>
    <x v="1"/>
    <n v="60"/>
    <x v="0"/>
    <n v="14"/>
    <n v="0.76965478006266064"/>
    <n v="840"/>
    <n v="193.48998474736507"/>
    <x v="2"/>
  </r>
  <r>
    <s v="PBOR00679"/>
    <s v="PIZB0006"/>
    <x v="69"/>
    <x v="5"/>
    <x v="0"/>
    <n v="95"/>
    <x v="1"/>
    <n v="3"/>
    <n v="0.11766742922798712"/>
    <n v="285"/>
    <n v="251.46478267002368"/>
    <x v="0"/>
  </r>
  <r>
    <s v="PBOR00680"/>
    <s v="PIZB0001"/>
    <x v="77"/>
    <x v="0"/>
    <x v="0"/>
    <n v="72"/>
    <x v="2"/>
    <n v="6"/>
    <n v="0.26368198994445502"/>
    <n v="432"/>
    <n v="318.08938034399546"/>
    <x v="3"/>
  </r>
  <r>
    <s v="PBOR00681"/>
    <s v="PIZB0002"/>
    <x v="41"/>
    <x v="1"/>
    <x v="0"/>
    <n v="65"/>
    <x v="0"/>
    <n v="12"/>
    <n v="0.76132885634377367"/>
    <n v="780"/>
    <n v="186.16349205185654"/>
    <x v="0"/>
  </r>
  <r>
    <s v="PBOR00682"/>
    <s v="PIZB0003"/>
    <x v="69"/>
    <x v="2"/>
    <x v="1"/>
    <n v="250"/>
    <x v="1"/>
    <n v="2"/>
    <n v="0.74096558797883771"/>
    <n v="500"/>
    <n v="129.51720601058113"/>
    <x v="0"/>
  </r>
  <r>
    <s v="PBOR00683"/>
    <s v="PIZB0004"/>
    <x v="63"/>
    <x v="3"/>
    <x v="1"/>
    <n v="130"/>
    <x v="2"/>
    <n v="2"/>
    <n v="0.92405837653157763"/>
    <n v="260"/>
    <n v="19.744822101789815"/>
    <x v="3"/>
  </r>
  <r>
    <s v="PBOR00684"/>
    <s v="PIZB0001"/>
    <x v="41"/>
    <x v="0"/>
    <x v="1"/>
    <n v="72"/>
    <x v="0"/>
    <n v="8"/>
    <n v="0.37068867588147736"/>
    <n v="576"/>
    <n v="362.48332269226904"/>
    <x v="0"/>
  </r>
  <r>
    <s v="PBOR00685"/>
    <s v="PIZB0002"/>
    <x v="45"/>
    <x v="1"/>
    <x v="1"/>
    <n v="65"/>
    <x v="1"/>
    <n v="10"/>
    <n v="0.92931186611574523"/>
    <n v="650"/>
    <n v="45.9472870247656"/>
    <x v="6"/>
  </r>
  <r>
    <s v="PBOR00686"/>
    <s v="PIZB0003"/>
    <x v="57"/>
    <x v="2"/>
    <x v="1"/>
    <n v="250"/>
    <x v="2"/>
    <n v="3"/>
    <n v="0.31019288153418589"/>
    <n v="750"/>
    <n v="517.35533884936058"/>
    <x v="3"/>
  </r>
  <r>
    <s v="PBOR00687"/>
    <s v="PIZB0004"/>
    <x v="64"/>
    <x v="3"/>
    <x v="1"/>
    <n v="130"/>
    <x v="0"/>
    <n v="7"/>
    <n v="0.39142188552475587"/>
    <n v="910"/>
    <n v="553.8060841724722"/>
    <x v="4"/>
  </r>
  <r>
    <s v="PBOR00688"/>
    <s v="PIZB0001"/>
    <x v="33"/>
    <x v="0"/>
    <x v="0"/>
    <n v="72"/>
    <x v="0"/>
    <n v="10"/>
    <n v="0.17414567945590564"/>
    <n v="720"/>
    <n v="594.61511079174795"/>
    <x v="4"/>
  </r>
  <r>
    <s v="PBOR00689"/>
    <s v="PIZB0002"/>
    <x v="40"/>
    <x v="1"/>
    <x v="1"/>
    <n v="65"/>
    <x v="1"/>
    <n v="13"/>
    <n v="0.23720703866490522"/>
    <n v="845"/>
    <n v="644.56005232815505"/>
    <x v="5"/>
  </r>
  <r>
    <s v="PBOR00690"/>
    <s v="PIZB0003"/>
    <x v="70"/>
    <x v="2"/>
    <x v="0"/>
    <n v="250"/>
    <x v="2"/>
    <n v="1"/>
    <n v="0.21710139538020601"/>
    <n v="250"/>
    <n v="195.7246511549485"/>
    <x v="6"/>
  </r>
  <r>
    <s v="PBOR00691"/>
    <s v="PIZB0004"/>
    <x v="55"/>
    <x v="3"/>
    <x v="1"/>
    <n v="130"/>
    <x v="0"/>
    <n v="2"/>
    <n v="0.30483287789174762"/>
    <n v="260"/>
    <n v="180.74345174814562"/>
    <x v="3"/>
  </r>
  <r>
    <s v="PBOR00692"/>
    <s v="PIZB0001"/>
    <x v="48"/>
    <x v="0"/>
    <x v="0"/>
    <n v="72"/>
    <x v="1"/>
    <n v="10"/>
    <n v="0.26006756661710084"/>
    <n v="720"/>
    <n v="532.75135203568743"/>
    <x v="4"/>
  </r>
  <r>
    <s v="PBOR00693"/>
    <s v="PIZB0002"/>
    <x v="78"/>
    <x v="1"/>
    <x v="1"/>
    <n v="65"/>
    <x v="2"/>
    <n v="4"/>
    <n v="0.77737539496670371"/>
    <n v="260"/>
    <n v="57.882397308657033"/>
    <x v="4"/>
  </r>
  <r>
    <s v="PBOR00694"/>
    <s v="PIZB0003"/>
    <x v="65"/>
    <x v="2"/>
    <x v="0"/>
    <n v="250"/>
    <x v="0"/>
    <n v="3"/>
    <n v="0.26489394545451828"/>
    <n v="750"/>
    <n v="551.3295409091113"/>
    <x v="6"/>
  </r>
  <r>
    <s v="PBOR00695"/>
    <s v="PIZB0004"/>
    <x v="80"/>
    <x v="3"/>
    <x v="1"/>
    <n v="130"/>
    <x v="1"/>
    <n v="4"/>
    <n v="0.21174109675475827"/>
    <n v="520"/>
    <n v="409.89462968752571"/>
    <x v="5"/>
  </r>
  <r>
    <s v="PBOR00696"/>
    <s v="PIZB0005"/>
    <x v="42"/>
    <x v="4"/>
    <x v="0"/>
    <n v="60"/>
    <x v="2"/>
    <n v="13"/>
    <n v="8.3285766094849389E-2"/>
    <n v="780"/>
    <n v="715.03710244601746"/>
    <x v="0"/>
  </r>
  <r>
    <s v="PBOR00697"/>
    <s v="PIZB0001"/>
    <x v="21"/>
    <x v="0"/>
    <x v="1"/>
    <n v="72"/>
    <x v="0"/>
    <n v="3"/>
    <n v="0.24681671532721328"/>
    <n v="216"/>
    <n v="162.68758948932194"/>
    <x v="0"/>
  </r>
  <r>
    <s v="PBOR00698"/>
    <s v="PIZB0002"/>
    <x v="30"/>
    <x v="1"/>
    <x v="0"/>
    <n v="65"/>
    <x v="1"/>
    <n v="9"/>
    <n v="0.838412919805267"/>
    <n v="585"/>
    <n v="94.528441913918812"/>
    <x v="4"/>
  </r>
  <r>
    <s v="PBOR00699"/>
    <s v="PIZB0003"/>
    <x v="17"/>
    <x v="2"/>
    <x v="1"/>
    <n v="250"/>
    <x v="2"/>
    <n v="3"/>
    <n v="0.11769538941109359"/>
    <n v="750"/>
    <n v="661.72845794167984"/>
    <x v="2"/>
  </r>
  <r>
    <s v="PBOR00700"/>
    <s v="PIZB0004"/>
    <x v="48"/>
    <x v="3"/>
    <x v="0"/>
    <n v="130"/>
    <x v="0"/>
    <n v="5"/>
    <n v="0.49080997668000093"/>
    <n v="650"/>
    <n v="330.97351515799937"/>
    <x v="4"/>
  </r>
  <r>
    <s v="PBOR00701"/>
    <s v="PIZB0001"/>
    <x v="17"/>
    <x v="0"/>
    <x v="1"/>
    <n v="72"/>
    <x v="1"/>
    <n v="9"/>
    <n v="0.79745936764072745"/>
    <n v="648"/>
    <n v="131.24632976880861"/>
    <x v="2"/>
  </r>
  <r>
    <s v="PBOR00702"/>
    <s v="PIZB0002"/>
    <x v="75"/>
    <x v="1"/>
    <x v="0"/>
    <n v="65"/>
    <x v="2"/>
    <n v="7"/>
    <n v="0.56917557614563552"/>
    <n v="455"/>
    <n v="196.02511285373583"/>
    <x v="1"/>
  </r>
  <r>
    <s v="PBOR00703"/>
    <s v="PIZB0003"/>
    <x v="44"/>
    <x v="2"/>
    <x v="1"/>
    <n v="250"/>
    <x v="0"/>
    <n v="2"/>
    <n v="0.58956648902798281"/>
    <n v="500"/>
    <n v="205.21675548600859"/>
    <x v="2"/>
  </r>
  <r>
    <s v="PBOR00704"/>
    <s v="PIZB0004"/>
    <x v="41"/>
    <x v="3"/>
    <x v="0"/>
    <n v="130"/>
    <x v="1"/>
    <n v="7"/>
    <n v="0.79602580773508258"/>
    <n v="910"/>
    <n v="185.61651496107484"/>
    <x v="0"/>
  </r>
  <r>
    <s v="PBOR00705"/>
    <s v="PIZB0005"/>
    <x v="37"/>
    <x v="4"/>
    <x v="0"/>
    <n v="60"/>
    <x v="2"/>
    <n v="8"/>
    <n v="0.19054633355503425"/>
    <n v="480"/>
    <n v="388.53775989358354"/>
    <x v="5"/>
  </r>
  <r>
    <s v="PBOR00706"/>
    <s v="PIZB0006"/>
    <x v="65"/>
    <x v="5"/>
    <x v="1"/>
    <n v="95"/>
    <x v="0"/>
    <n v="2"/>
    <n v="0.59553557783800648"/>
    <n v="190"/>
    <n v="76.848240210778769"/>
    <x v="6"/>
  </r>
  <r>
    <s v="PBOR00707"/>
    <s v="PIZB0001"/>
    <x v="40"/>
    <x v="0"/>
    <x v="1"/>
    <n v="72"/>
    <x v="1"/>
    <n v="5"/>
    <n v="0.96584894191122661"/>
    <n v="360"/>
    <n v="12.29438091195842"/>
    <x v="5"/>
  </r>
  <r>
    <s v="PBOR00708"/>
    <s v="PIZB0002"/>
    <x v="26"/>
    <x v="1"/>
    <x v="1"/>
    <n v="65"/>
    <x v="2"/>
    <n v="13"/>
    <n v="0.25569072847995811"/>
    <n v="845"/>
    <n v="628.94133443443536"/>
    <x v="1"/>
  </r>
  <r>
    <s v="PBOR00709"/>
    <s v="PIZB0003"/>
    <x v="46"/>
    <x v="2"/>
    <x v="0"/>
    <n v="250"/>
    <x v="0"/>
    <n v="3"/>
    <n v="0.96013365222512459"/>
    <n v="750"/>
    <n v="29.899760831156559"/>
    <x v="1"/>
  </r>
  <r>
    <s v="PBOR00710"/>
    <s v="PIZB0004"/>
    <x v="82"/>
    <x v="3"/>
    <x v="0"/>
    <n v="130"/>
    <x v="1"/>
    <n v="2"/>
    <n v="0.71223695259991049"/>
    <n v="260"/>
    <n v="74.818392324023279"/>
    <x v="5"/>
  </r>
  <r>
    <s v="PBOR00711"/>
    <s v="PIZB0001"/>
    <x v="56"/>
    <x v="0"/>
    <x v="0"/>
    <n v="72"/>
    <x v="2"/>
    <n v="5"/>
    <n v="0.56692829375843201"/>
    <n v="360"/>
    <n v="155.90581424696447"/>
    <x v="4"/>
  </r>
  <r>
    <s v="PBOR00712"/>
    <s v="PIZB0002"/>
    <x v="62"/>
    <x v="1"/>
    <x v="0"/>
    <n v="65"/>
    <x v="0"/>
    <n v="6"/>
    <n v="0.13858371140107095"/>
    <n v="390"/>
    <n v="335.95235255358233"/>
    <x v="3"/>
  </r>
  <r>
    <s v="PBOR00713"/>
    <s v="PIZB0003"/>
    <x v="74"/>
    <x v="2"/>
    <x v="0"/>
    <n v="250"/>
    <x v="1"/>
    <n v="1"/>
    <n v="7.7679546850794479E-2"/>
    <n v="250"/>
    <n v="230.58011328730137"/>
    <x v="5"/>
  </r>
  <r>
    <s v="PBOR00714"/>
    <s v="PIZB0004"/>
    <x v="26"/>
    <x v="3"/>
    <x v="0"/>
    <n v="130"/>
    <x v="2"/>
    <n v="4"/>
    <n v="0.96432842681492348"/>
    <n v="520"/>
    <n v="18.549218056239791"/>
    <x v="1"/>
  </r>
  <r>
    <s v="PBOR00715"/>
    <s v="PIZB0005"/>
    <x v="43"/>
    <x v="4"/>
    <x v="0"/>
    <n v="60"/>
    <x v="0"/>
    <n v="7"/>
    <n v="7.375748403941762E-2"/>
    <n v="420"/>
    <n v="389.0218567034446"/>
    <x v="3"/>
  </r>
  <r>
    <s v="PBOR00716"/>
    <s v="PIZB0001"/>
    <x v="57"/>
    <x v="0"/>
    <x v="0"/>
    <n v="72"/>
    <x v="1"/>
    <n v="6"/>
    <n v="0.75716868092799117"/>
    <n v="432"/>
    <n v="104.90312983910782"/>
    <x v="3"/>
  </r>
  <r>
    <s v="PBOR00717"/>
    <s v="PIZB0002"/>
    <x v="40"/>
    <x v="1"/>
    <x v="0"/>
    <n v="65"/>
    <x v="2"/>
    <n v="11"/>
    <n v="0.35116232828885086"/>
    <n v="715"/>
    <n v="463.91893527347162"/>
    <x v="5"/>
  </r>
  <r>
    <s v="PBOR00718"/>
    <s v="PIZB0003"/>
    <x v="32"/>
    <x v="2"/>
    <x v="1"/>
    <n v="250"/>
    <x v="0"/>
    <n v="1"/>
    <n v="0.1647987899331973"/>
    <n v="250"/>
    <n v="208.80030251670067"/>
    <x v="6"/>
  </r>
  <r>
    <s v="PBOR00719"/>
    <s v="PIZB0004"/>
    <x v="33"/>
    <x v="3"/>
    <x v="0"/>
    <n v="130"/>
    <x v="1"/>
    <n v="2"/>
    <n v="0.58782748640258176"/>
    <n v="260"/>
    <n v="107.16485353532875"/>
    <x v="4"/>
  </r>
  <r>
    <s v="PBOR00720"/>
    <s v="PIZB0001"/>
    <x v="49"/>
    <x v="0"/>
    <x v="0"/>
    <n v="72"/>
    <x v="2"/>
    <n v="12"/>
    <n v="0.59017461967997908"/>
    <n v="864"/>
    <n v="354.08912859649809"/>
    <x v="2"/>
  </r>
  <r>
    <s v="PBOR00721"/>
    <s v="PIZB0002"/>
    <x v="33"/>
    <x v="1"/>
    <x v="0"/>
    <n v="65"/>
    <x v="0"/>
    <n v="9"/>
    <n v="0.76871725670860058"/>
    <n v="585"/>
    <n v="135.30040482546866"/>
    <x v="4"/>
  </r>
  <r>
    <s v="PBOR00722"/>
    <s v="PIZB0003"/>
    <x v="79"/>
    <x v="2"/>
    <x v="0"/>
    <n v="250"/>
    <x v="1"/>
    <n v="2"/>
    <n v="0.38376084519841303"/>
    <n v="500"/>
    <n v="308.1195774007935"/>
    <x v="1"/>
  </r>
  <r>
    <s v="PBOR00723"/>
    <s v="PIZB0004"/>
    <x v="82"/>
    <x v="3"/>
    <x v="0"/>
    <n v="130"/>
    <x v="2"/>
    <n v="2"/>
    <n v="6.6382267912604931E-2"/>
    <n v="260"/>
    <n v="242.74061034272273"/>
    <x v="5"/>
  </r>
  <r>
    <s v="PBOR00724"/>
    <s v="PIZB0005"/>
    <x v="42"/>
    <x v="4"/>
    <x v="1"/>
    <n v="60"/>
    <x v="0"/>
    <n v="12"/>
    <n v="0.63299499787360047"/>
    <n v="720"/>
    <n v="264.24360153100764"/>
    <x v="0"/>
  </r>
  <r>
    <s v="PBOR00725"/>
    <s v="PIZB0006"/>
    <x v="58"/>
    <x v="5"/>
    <x v="0"/>
    <n v="95"/>
    <x v="1"/>
    <n v="5"/>
    <n v="0.95634399072117149"/>
    <n v="475"/>
    <n v="20.736604407443544"/>
    <x v="2"/>
  </r>
  <r>
    <s v="PBOR00726"/>
    <s v="PIZB0001"/>
    <x v="63"/>
    <x v="0"/>
    <x v="0"/>
    <n v="72"/>
    <x v="2"/>
    <n v="8"/>
    <n v="0.9986865518565412"/>
    <n v="576"/>
    <n v="0.75654613063226606"/>
    <x v="3"/>
  </r>
  <r>
    <s v="PBOR00727"/>
    <s v="PIZB0002"/>
    <x v="72"/>
    <x v="1"/>
    <x v="0"/>
    <n v="65"/>
    <x v="0"/>
    <n v="4"/>
    <n v="0.76368609596548509"/>
    <n v="260"/>
    <n v="61.44161504897388"/>
    <x v="1"/>
  </r>
  <r>
    <s v="PBOR00728"/>
    <s v="PIZB0003"/>
    <x v="79"/>
    <x v="2"/>
    <x v="1"/>
    <n v="250"/>
    <x v="1"/>
    <n v="2"/>
    <n v="0.89297363576506794"/>
    <n v="500"/>
    <n v="53.51318211746603"/>
    <x v="1"/>
  </r>
  <r>
    <s v="PBOR00729"/>
    <s v="PIZB0004"/>
    <x v="17"/>
    <x v="3"/>
    <x v="1"/>
    <n v="130"/>
    <x v="2"/>
    <n v="4"/>
    <n v="0.76455697209180207"/>
    <n v="520"/>
    <n v="122.43037451226293"/>
    <x v="2"/>
  </r>
  <r>
    <s v="PBOR00730"/>
    <s v="PIZB0001"/>
    <x v="52"/>
    <x v="0"/>
    <x v="1"/>
    <n v="72"/>
    <x v="0"/>
    <n v="5"/>
    <n v="0.87063039510985429"/>
    <n v="360"/>
    <n v="46.573057760452457"/>
    <x v="1"/>
  </r>
  <r>
    <s v="PBOR00731"/>
    <s v="PIZB0002"/>
    <x v="74"/>
    <x v="1"/>
    <x v="1"/>
    <n v="65"/>
    <x v="1"/>
    <n v="10"/>
    <n v="0.69712299005595413"/>
    <n v="650"/>
    <n v="196.87005646362982"/>
    <x v="5"/>
  </r>
  <r>
    <s v="PBOR00732"/>
    <s v="PIZB0003"/>
    <x v="75"/>
    <x v="2"/>
    <x v="1"/>
    <n v="250"/>
    <x v="2"/>
    <n v="2"/>
    <n v="0.83954634443245435"/>
    <n v="500"/>
    <n v="80.226827783772819"/>
    <x v="1"/>
  </r>
  <r>
    <s v="PBOR00733"/>
    <s v="PIZB0004"/>
    <x v="57"/>
    <x v="3"/>
    <x v="1"/>
    <n v="130"/>
    <x v="0"/>
    <n v="3"/>
    <n v="0.71629617340377727"/>
    <n v="390"/>
    <n v="110.64449237252687"/>
    <x v="3"/>
  </r>
  <r>
    <s v="PBOR00734"/>
    <s v="PIZB0001"/>
    <x v="38"/>
    <x v="0"/>
    <x v="1"/>
    <n v="72"/>
    <x v="0"/>
    <n v="9"/>
    <n v="0.35052811870862122"/>
    <n v="648"/>
    <n v="420.85777907681347"/>
    <x v="3"/>
  </r>
  <r>
    <s v="PBOR00735"/>
    <s v="PIZB0002"/>
    <x v="53"/>
    <x v="1"/>
    <x v="0"/>
    <n v="65"/>
    <x v="1"/>
    <n v="11"/>
    <n v="0.65083765671337268"/>
    <n v="715"/>
    <n v="249.65107544993853"/>
    <x v="4"/>
  </r>
  <r>
    <s v="PBOR00736"/>
    <s v="PIZB0003"/>
    <x v="78"/>
    <x v="2"/>
    <x v="0"/>
    <n v="250"/>
    <x v="2"/>
    <n v="1"/>
    <n v="0.75860685642634518"/>
    <n v="250"/>
    <n v="60.348285893413703"/>
    <x v="4"/>
  </r>
  <r>
    <s v="PBOR00737"/>
    <s v="PIZB0004"/>
    <x v="82"/>
    <x v="3"/>
    <x v="0"/>
    <n v="130"/>
    <x v="0"/>
    <n v="5"/>
    <n v="0.29734680743595432"/>
    <n v="650"/>
    <n v="456.72457516662968"/>
    <x v="5"/>
  </r>
  <r>
    <s v="PBOR00738"/>
    <s v="PIZB0001"/>
    <x v="61"/>
    <x v="0"/>
    <x v="1"/>
    <n v="72"/>
    <x v="1"/>
    <n v="11"/>
    <n v="0.80141440447684376"/>
    <n v="792"/>
    <n v="157.27979165433973"/>
    <x v="1"/>
  </r>
  <r>
    <s v="PBOR00739"/>
    <s v="PIZB0002"/>
    <x v="21"/>
    <x v="1"/>
    <x v="1"/>
    <n v="65"/>
    <x v="2"/>
    <n v="10"/>
    <n v="0.67207605063824161"/>
    <n v="650"/>
    <n v="213.15056708514297"/>
    <x v="0"/>
  </r>
  <r>
    <s v="PBOR00740"/>
    <s v="PIZB0003"/>
    <x v="32"/>
    <x v="2"/>
    <x v="1"/>
    <n v="250"/>
    <x v="0"/>
    <n v="2"/>
    <n v="0.46275115232505593"/>
    <n v="500"/>
    <n v="268.62442383747202"/>
    <x v="6"/>
  </r>
  <r>
    <s v="PBOR00741"/>
    <s v="PIZB0004"/>
    <x v="54"/>
    <x v="3"/>
    <x v="1"/>
    <n v="130"/>
    <x v="1"/>
    <n v="4"/>
    <n v="0.99419705367436073"/>
    <n v="520"/>
    <n v="3.0175320893324198"/>
    <x v="0"/>
  </r>
  <r>
    <s v="PBOR00742"/>
    <s v="PIZB0005"/>
    <x v="70"/>
    <x v="4"/>
    <x v="1"/>
    <n v="60"/>
    <x v="2"/>
    <n v="4"/>
    <n v="0.26330740776292771"/>
    <n v="240"/>
    <n v="176.80622213689736"/>
    <x v="6"/>
  </r>
  <r>
    <s v="PBOR00743"/>
    <s v="PIZB0001"/>
    <x v="30"/>
    <x v="0"/>
    <x v="1"/>
    <n v="72"/>
    <x v="0"/>
    <n v="12"/>
    <n v="0.83200962756113006"/>
    <n v="864"/>
    <n v="145.14368178718362"/>
    <x v="4"/>
  </r>
  <r>
    <s v="PBOR00744"/>
    <s v="PIZB0002"/>
    <x v="71"/>
    <x v="1"/>
    <x v="1"/>
    <n v="65"/>
    <x v="1"/>
    <n v="5"/>
    <n v="0.81552342226392693"/>
    <n v="325"/>
    <n v="59.954887764223749"/>
    <x v="6"/>
  </r>
  <r>
    <s v="PBOR00745"/>
    <s v="PIZB0003"/>
    <x v="82"/>
    <x v="2"/>
    <x v="0"/>
    <n v="250"/>
    <x v="2"/>
    <n v="3"/>
    <n v="0.63049254600996352"/>
    <n v="750"/>
    <n v="277.13059049252735"/>
    <x v="5"/>
  </r>
  <r>
    <s v="PBOR00746"/>
    <s v="PIZB0004"/>
    <x v="67"/>
    <x v="3"/>
    <x v="0"/>
    <n v="130"/>
    <x v="0"/>
    <n v="2"/>
    <n v="0.24885721266837513"/>
    <n v="260"/>
    <n v="195.29712470622246"/>
    <x v="6"/>
  </r>
  <r>
    <s v="PBOR00747"/>
    <s v="PIZB0001"/>
    <x v="43"/>
    <x v="0"/>
    <x v="0"/>
    <n v="72"/>
    <x v="1"/>
    <n v="7"/>
    <n v="0.92358364463244225"/>
    <n v="504"/>
    <n v="38.513843105249109"/>
    <x v="3"/>
  </r>
  <r>
    <s v="PBOR00748"/>
    <s v="PIZB0002"/>
    <x v="52"/>
    <x v="1"/>
    <x v="1"/>
    <n v="65"/>
    <x v="2"/>
    <n v="12"/>
    <n v="0.92279434647471381"/>
    <n v="780"/>
    <n v="60.220409749723224"/>
    <x v="1"/>
  </r>
  <r>
    <s v="PBOR00749"/>
    <s v="PIZB0003"/>
    <x v="41"/>
    <x v="2"/>
    <x v="1"/>
    <n v="250"/>
    <x v="0"/>
    <n v="3"/>
    <n v="0.25354588160649338"/>
    <n v="750"/>
    <n v="559.84058879512997"/>
    <x v="0"/>
  </r>
  <r>
    <s v="PBOR00750"/>
    <s v="PIZB0004"/>
    <x v="63"/>
    <x v="3"/>
    <x v="1"/>
    <n v="130"/>
    <x v="1"/>
    <n v="4"/>
    <n v="0.7115758459075352"/>
    <n v="520"/>
    <n v="149.98056012808169"/>
    <x v="3"/>
  </r>
  <r>
    <s v="PBOR00751"/>
    <s v="PIZB0005"/>
    <x v="63"/>
    <x v="4"/>
    <x v="1"/>
    <n v="60"/>
    <x v="2"/>
    <n v="8"/>
    <n v="0.14760051323090295"/>
    <n v="480"/>
    <n v="409.15175364916661"/>
    <x v="3"/>
  </r>
  <r>
    <s v="PBOR00752"/>
    <s v="PIZB0006"/>
    <x v="74"/>
    <x v="5"/>
    <x v="1"/>
    <n v="95"/>
    <x v="0"/>
    <n v="3"/>
    <n v="0.75858491138019557"/>
    <n v="285"/>
    <n v="68.803300256644263"/>
    <x v="5"/>
  </r>
  <r>
    <s v="PBOR00753"/>
    <s v="PIZB0001"/>
    <x v="80"/>
    <x v="0"/>
    <x v="1"/>
    <n v="72"/>
    <x v="1"/>
    <n v="8"/>
    <n v="0.23547064051706112"/>
    <n v="576"/>
    <n v="440.3689110621728"/>
    <x v="5"/>
  </r>
  <r>
    <s v="PBOR00754"/>
    <s v="PIZB0002"/>
    <x v="37"/>
    <x v="1"/>
    <x v="1"/>
    <n v="65"/>
    <x v="2"/>
    <n v="12"/>
    <n v="0.28907365136457031"/>
    <n v="780"/>
    <n v="554.52255193563519"/>
    <x v="5"/>
  </r>
  <r>
    <s v="PBOR00755"/>
    <s v="PIZB0003"/>
    <x v="58"/>
    <x v="2"/>
    <x v="0"/>
    <n v="250"/>
    <x v="0"/>
    <n v="3"/>
    <n v="8.9284864902069883E-2"/>
    <n v="750"/>
    <n v="683.03635132344755"/>
    <x v="2"/>
  </r>
  <r>
    <s v="PBOR00756"/>
    <s v="PIZB0004"/>
    <x v="67"/>
    <x v="3"/>
    <x v="0"/>
    <n v="130"/>
    <x v="1"/>
    <n v="4"/>
    <n v="0.4101057242159224"/>
    <n v="520"/>
    <n v="306.74502340772034"/>
    <x v="6"/>
  </r>
  <r>
    <s v="PBOR00757"/>
    <s v="PIZB0001"/>
    <x v="45"/>
    <x v="0"/>
    <x v="0"/>
    <n v="72"/>
    <x v="2"/>
    <n v="11"/>
    <n v="0.50882507417878253"/>
    <n v="792"/>
    <n v="389.01054125040423"/>
    <x v="6"/>
  </r>
  <r>
    <s v="PBOR00758"/>
    <s v="PIZB0002"/>
    <x v="77"/>
    <x v="1"/>
    <x v="1"/>
    <n v="65"/>
    <x v="0"/>
    <n v="9"/>
    <n v="0.86166428241675874"/>
    <n v="585"/>
    <n v="80.926394786196141"/>
    <x v="3"/>
  </r>
  <r>
    <s v="PBOR00759"/>
    <s v="PIZB0003"/>
    <x v="39"/>
    <x v="2"/>
    <x v="1"/>
    <n v="250"/>
    <x v="1"/>
    <n v="3"/>
    <n v="0.77696331396878182"/>
    <n v="750"/>
    <n v="167.27751452341363"/>
    <x v="6"/>
  </r>
  <r>
    <s v="PBOR00760"/>
    <s v="PIZB0004"/>
    <x v="17"/>
    <x v="3"/>
    <x v="1"/>
    <n v="130"/>
    <x v="2"/>
    <n v="3"/>
    <n v="0.55752313332885928"/>
    <n v="390"/>
    <n v="172.5659780017449"/>
    <x v="2"/>
  </r>
  <r>
    <s v="PBOR00761"/>
    <s v="PIZB0005"/>
    <x v="74"/>
    <x v="4"/>
    <x v="1"/>
    <n v="60"/>
    <x v="0"/>
    <n v="13"/>
    <n v="9.120219294889409E-2"/>
    <n v="780"/>
    <n v="708.86228949986264"/>
    <x v="5"/>
  </r>
  <r>
    <s v="PBOR00762"/>
    <s v="PIZB0001"/>
    <x v="26"/>
    <x v="0"/>
    <x v="1"/>
    <n v="72"/>
    <x v="1"/>
    <n v="12"/>
    <n v="0.61242921782726267"/>
    <n v="864"/>
    <n v="334.86115579724503"/>
    <x v="1"/>
  </r>
  <r>
    <s v="PBOR00763"/>
    <s v="PIZB0002"/>
    <x v="48"/>
    <x v="1"/>
    <x v="1"/>
    <n v="65"/>
    <x v="2"/>
    <n v="5"/>
    <n v="0.41856252122362292"/>
    <n v="325"/>
    <n v="188.96718060232254"/>
    <x v="4"/>
  </r>
  <r>
    <s v="PBOR00764"/>
    <s v="PIZB0003"/>
    <x v="58"/>
    <x v="2"/>
    <x v="0"/>
    <n v="250"/>
    <x v="0"/>
    <n v="3"/>
    <n v="0.93596855648052024"/>
    <n v="750"/>
    <n v="48.02358263960982"/>
    <x v="2"/>
  </r>
  <r>
    <s v="PBOR00765"/>
    <s v="PIZB0004"/>
    <x v="74"/>
    <x v="3"/>
    <x v="1"/>
    <n v="130"/>
    <x v="1"/>
    <n v="5"/>
    <n v="0.60945771857216946"/>
    <n v="650"/>
    <n v="253.85248292808984"/>
    <x v="5"/>
  </r>
  <r>
    <s v="PBOR00766"/>
    <s v="PIZB0001"/>
    <x v="50"/>
    <x v="0"/>
    <x v="0"/>
    <n v="72"/>
    <x v="2"/>
    <n v="8"/>
    <n v="0.71901115141492256"/>
    <n v="576"/>
    <n v="161.84957678500461"/>
    <x v="5"/>
  </r>
  <r>
    <s v="PBOR00767"/>
    <s v="PIZB0002"/>
    <x v="49"/>
    <x v="1"/>
    <x v="1"/>
    <n v="65"/>
    <x v="0"/>
    <n v="4"/>
    <n v="0.29487748545083081"/>
    <n v="260"/>
    <n v="183.33185378278398"/>
    <x v="2"/>
  </r>
  <r>
    <s v="PBOR00768"/>
    <s v="PIZB0003"/>
    <x v="46"/>
    <x v="2"/>
    <x v="0"/>
    <n v="250"/>
    <x v="1"/>
    <n v="3"/>
    <n v="0.12863397538357291"/>
    <n v="750"/>
    <n v="653.52451846232032"/>
    <x v="1"/>
  </r>
  <r>
    <s v="PBOR00769"/>
    <s v="PIZB0004"/>
    <x v="38"/>
    <x v="3"/>
    <x v="1"/>
    <n v="130"/>
    <x v="2"/>
    <n v="7"/>
    <n v="0.88900617659687353"/>
    <n v="910"/>
    <n v="101.00437929684509"/>
    <x v="3"/>
  </r>
  <r>
    <s v="PBOR00770"/>
    <s v="PIZB0005"/>
    <x v="80"/>
    <x v="4"/>
    <x v="0"/>
    <n v="60"/>
    <x v="0"/>
    <n v="7"/>
    <n v="0.92927777119833244"/>
    <n v="420"/>
    <n v="29.703336096700376"/>
    <x v="5"/>
  </r>
  <r>
    <s v="PBOR00771"/>
    <s v="PIZB0006"/>
    <x v="42"/>
    <x v="5"/>
    <x v="1"/>
    <n v="95"/>
    <x v="1"/>
    <n v="7"/>
    <n v="0.50897304586519521"/>
    <n v="665"/>
    <n v="326.53292449964516"/>
    <x v="0"/>
  </r>
  <r>
    <s v="PBOR00772"/>
    <s v="PIZB0001"/>
    <x v="79"/>
    <x v="0"/>
    <x v="0"/>
    <n v="72"/>
    <x v="2"/>
    <n v="5"/>
    <n v="0.32892300620325621"/>
    <n v="360"/>
    <n v="241.58771776682778"/>
    <x v="1"/>
  </r>
  <r>
    <s v="PBOR00773"/>
    <s v="PIZB0002"/>
    <x v="46"/>
    <x v="1"/>
    <x v="1"/>
    <n v="65"/>
    <x v="0"/>
    <n v="6"/>
    <n v="0.19203361853079959"/>
    <n v="390"/>
    <n v="315.10688877298816"/>
    <x v="1"/>
  </r>
  <r>
    <s v="PBOR00774"/>
    <s v="PIZB0003"/>
    <x v="42"/>
    <x v="2"/>
    <x v="0"/>
    <n v="250"/>
    <x v="1"/>
    <n v="2"/>
    <n v="0.91579650713030913"/>
    <n v="500"/>
    <n v="42.101746434845431"/>
    <x v="0"/>
  </r>
  <r>
    <s v="PBOR00775"/>
    <s v="PIZB0004"/>
    <x v="47"/>
    <x v="3"/>
    <x v="1"/>
    <n v="130"/>
    <x v="2"/>
    <n v="2"/>
    <n v="0.67015618438475211"/>
    <n v="260"/>
    <n v="85.759392059964455"/>
    <x v="2"/>
  </r>
  <r>
    <s v="PBOR00776"/>
    <s v="PIZB0001"/>
    <x v="47"/>
    <x v="0"/>
    <x v="0"/>
    <n v="72"/>
    <x v="0"/>
    <n v="4"/>
    <n v="0.73436566921189161"/>
    <n v="288"/>
    <n v="76.502687266975215"/>
    <x v="2"/>
  </r>
  <r>
    <s v="PBOR00777"/>
    <s v="PIZB0002"/>
    <x v="19"/>
    <x v="1"/>
    <x v="1"/>
    <n v="65"/>
    <x v="1"/>
    <n v="10"/>
    <n v="0.60584571353725258"/>
    <n v="650"/>
    <n v="256.2002862007858"/>
    <x v="5"/>
  </r>
  <r>
    <s v="PBOR00778"/>
    <s v="PIZB0003"/>
    <x v="80"/>
    <x v="2"/>
    <x v="0"/>
    <n v="250"/>
    <x v="2"/>
    <n v="1"/>
    <n v="0.61806278502659884"/>
    <n v="250"/>
    <n v="95.484303743350296"/>
    <x v="5"/>
  </r>
  <r>
    <s v="PBOR00779"/>
    <s v="PIZB0004"/>
    <x v="54"/>
    <x v="0"/>
    <x v="1"/>
    <n v="72"/>
    <x v="0"/>
    <n v="12"/>
    <n v="0.46143518581702381"/>
    <n v="864"/>
    <n v="465.31999945409143"/>
    <x v="0"/>
  </r>
  <r>
    <s v="PBOR00780"/>
    <s v="PIZB0001"/>
    <x v="43"/>
    <x v="1"/>
    <x v="0"/>
    <n v="65"/>
    <x v="0"/>
    <n v="11"/>
    <n v="0.99903910118615247"/>
    <n v="715"/>
    <n v="0.6870426519009859"/>
    <x v="3"/>
  </r>
  <r>
    <s v="PBOR00781"/>
    <s v="PIZB0002"/>
    <x v="81"/>
    <x v="2"/>
    <x v="1"/>
    <n v="250"/>
    <x v="1"/>
    <n v="2"/>
    <n v="0.41496103292098374"/>
    <n v="500"/>
    <n v="292.51948353950814"/>
    <x v="2"/>
  </r>
  <r>
    <s v="PBOR00782"/>
    <s v="PIZB0003"/>
    <x v="48"/>
    <x v="3"/>
    <x v="1"/>
    <n v="130"/>
    <x v="2"/>
    <n v="7"/>
    <n v="0.35726313311637348"/>
    <n v="910"/>
    <n v="584.89054886410008"/>
    <x v="4"/>
  </r>
  <r>
    <s v="PBOR00783"/>
    <s v="PIZB0004"/>
    <x v="37"/>
    <x v="0"/>
    <x v="1"/>
    <n v="72"/>
    <x v="0"/>
    <n v="6"/>
    <n v="0.23201676221398171"/>
    <n v="432"/>
    <n v="331.76875872355993"/>
    <x v="5"/>
  </r>
  <r>
    <s v="PBOR00784"/>
    <s v="PIZB0001"/>
    <x v="66"/>
    <x v="1"/>
    <x v="1"/>
    <n v="65"/>
    <x v="1"/>
    <n v="4"/>
    <n v="0.42164827278430805"/>
    <n v="260"/>
    <n v="150.3714490760799"/>
    <x v="1"/>
  </r>
  <r>
    <s v="PBOR00785"/>
    <s v="PIZB0002"/>
    <x v="63"/>
    <x v="2"/>
    <x v="1"/>
    <n v="250"/>
    <x v="2"/>
    <n v="2"/>
    <n v="0.82987484049137694"/>
    <n v="500"/>
    <n v="85.062579754311528"/>
    <x v="3"/>
  </r>
  <r>
    <s v="PBOR00786"/>
    <s v="PIZB0003"/>
    <x v="39"/>
    <x v="3"/>
    <x v="0"/>
    <n v="130"/>
    <x v="0"/>
    <n v="4"/>
    <n v="0.66505962526718665"/>
    <n v="520"/>
    <n v="174.16899486106294"/>
    <x v="6"/>
  </r>
  <r>
    <s v="PBOR00787"/>
    <s v="PIZB0004"/>
    <x v="42"/>
    <x v="4"/>
    <x v="1"/>
    <n v="60"/>
    <x v="1"/>
    <n v="8"/>
    <n v="8.2851828214477896E-2"/>
    <n v="480"/>
    <n v="440.23112245705062"/>
    <x v="0"/>
  </r>
  <r>
    <s v="PBOR00788"/>
    <s v="PIZB0005"/>
    <x v="30"/>
    <x v="0"/>
    <x v="0"/>
    <n v="72"/>
    <x v="2"/>
    <n v="4"/>
    <n v="0.48659503259841153"/>
    <n v="288"/>
    <n v="147.86063061165748"/>
    <x v="4"/>
  </r>
  <r>
    <s v="PBOR00789"/>
    <s v="PIZB0001"/>
    <x v="66"/>
    <x v="1"/>
    <x v="1"/>
    <n v="65"/>
    <x v="0"/>
    <n v="5"/>
    <n v="0.27006822427797073"/>
    <n v="325"/>
    <n v="237.2278271096595"/>
    <x v="1"/>
  </r>
  <r>
    <s v="PBOR00790"/>
    <s v="PIZB0002"/>
    <x v="42"/>
    <x v="2"/>
    <x v="0"/>
    <n v="250"/>
    <x v="1"/>
    <n v="3"/>
    <n v="0.92781868404907342"/>
    <n v="750"/>
    <n v="54.135986963194938"/>
    <x v="0"/>
  </r>
  <r>
    <s v="PBOR00791"/>
    <s v="PIZB0003"/>
    <x v="83"/>
    <x v="3"/>
    <x v="1"/>
    <n v="130"/>
    <x v="2"/>
    <n v="4"/>
    <n v="0.73558401619805436"/>
    <n v="520"/>
    <n v="137.49631157701174"/>
    <x v="2"/>
  </r>
  <r>
    <s v="PBOR00792"/>
    <s v="PIZB0004"/>
    <x v="79"/>
    <x v="0"/>
    <x v="0"/>
    <n v="72"/>
    <x v="0"/>
    <n v="5"/>
    <n v="3.5881833882375647E-2"/>
    <n v="360"/>
    <n v="347.08253980234474"/>
    <x v="1"/>
  </r>
  <r>
    <s v="PBOR00793"/>
    <s v="PIZB0001"/>
    <x v="70"/>
    <x v="1"/>
    <x v="1"/>
    <n v="65"/>
    <x v="1"/>
    <n v="7"/>
    <n v="0.32566355582863138"/>
    <n v="455"/>
    <n v="306.8230820979727"/>
    <x v="6"/>
  </r>
  <r>
    <s v="PBOR00794"/>
    <s v="PIZB0002"/>
    <x v="55"/>
    <x v="2"/>
    <x v="0"/>
    <n v="250"/>
    <x v="2"/>
    <n v="1"/>
    <n v="1.6890140674588272E-2"/>
    <n v="250"/>
    <n v="245.77746483135294"/>
    <x v="3"/>
  </r>
  <r>
    <s v="PBOR00795"/>
    <s v="PIZB0003"/>
    <x v="51"/>
    <x v="3"/>
    <x v="1"/>
    <n v="130"/>
    <x v="0"/>
    <n v="6"/>
    <n v="0.69110280458219508"/>
    <n v="780"/>
    <n v="240.93981242588782"/>
    <x v="0"/>
  </r>
  <r>
    <s v="PBOR00796"/>
    <s v="PIZB0004"/>
    <x v="77"/>
    <x v="4"/>
    <x v="0"/>
    <n v="60"/>
    <x v="1"/>
    <n v="13"/>
    <n v="0.35474420725740452"/>
    <n v="780"/>
    <n v="503.29951833922445"/>
    <x v="3"/>
  </r>
  <r>
    <s v="PBOR00797"/>
    <s v="PIZB0005"/>
    <x v="30"/>
    <x v="5"/>
    <x v="1"/>
    <n v="95"/>
    <x v="2"/>
    <n v="6"/>
    <n v="0.5228078078667433"/>
    <n v="570"/>
    <n v="271.99954951595635"/>
    <x v="4"/>
  </r>
  <r>
    <s v="PBOR00798"/>
    <s v="PIZB0006"/>
    <x v="70"/>
    <x v="0"/>
    <x v="0"/>
    <n v="72"/>
    <x v="0"/>
    <n v="12"/>
    <n v="0.41412041285636914"/>
    <n v="864"/>
    <n v="506.199963292097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8E341B-0C81-48AF-BFB4-D4A418721439}"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1:B46" firstHeaderRow="1" firstDataRow="1" firstDataCol="1"/>
  <pivotFields count="12">
    <pivotField showAll="0"/>
    <pivotField showAll="0"/>
    <pivotField numFmtId="15" showAll="0">
      <items count="85">
        <item x="6"/>
        <item x="13"/>
        <item x="5"/>
        <item h="1" x="12"/>
        <item h="1" x="11"/>
        <item h="1" x="9"/>
        <item x="8"/>
        <item x="15"/>
        <item x="14"/>
        <item x="2"/>
        <item h="1" x="4"/>
        <item h="1" x="7"/>
        <item h="1" x="3"/>
        <item x="10"/>
        <item x="0"/>
        <item x="1"/>
        <item h="1" x="23"/>
        <item h="1" x="18"/>
        <item h="1" x="31"/>
        <item h="1" x="20"/>
        <item h="1" x="16"/>
        <item h="1" x="36"/>
        <item h="1" x="28"/>
        <item h="1" x="35"/>
        <item h="1" x="22"/>
        <item h="1" x="34"/>
        <item h="1" x="25"/>
        <item h="1" x="27"/>
        <item h="1" x="24"/>
        <item h="1" x="17"/>
        <item h="1" x="30"/>
        <item h="1" x="19"/>
        <item h="1" x="62"/>
        <item h="1" x="32"/>
        <item h="1" x="21"/>
        <item h="1" x="26"/>
        <item h="1" x="29"/>
        <item h="1" x="33"/>
        <item h="1" x="37"/>
        <item h="1" x="38"/>
        <item h="1" x="45"/>
        <item h="1" x="72"/>
        <item h="1" x="58"/>
        <item h="1" x="48"/>
        <item h="1" x="50"/>
        <item h="1" x="77"/>
        <item h="1" x="76"/>
        <item h="1" x="42"/>
        <item h="1" x="75"/>
        <item h="1" x="49"/>
        <item h="1" x="78"/>
        <item h="1" x="80"/>
        <item h="1" x="59"/>
        <item h="1" x="65"/>
        <item h="1" x="73"/>
        <item h="1" x="46"/>
        <item h="1" x="81"/>
        <item h="1" x="64"/>
        <item h="1" x="74"/>
        <item h="1" x="55"/>
        <item h="1" x="39"/>
        <item h="1" x="51"/>
        <item h="1" x="52"/>
        <item h="1" x="47"/>
        <item h="1" x="53"/>
        <item h="1" x="68"/>
        <item h="1" x="63"/>
        <item h="1" x="67"/>
        <item h="1" x="54"/>
        <item h="1" x="61"/>
        <item h="1" x="44"/>
        <item h="1" x="56"/>
        <item h="1" x="40"/>
        <item h="1" x="43"/>
        <item h="1" x="71"/>
        <item h="1" x="41"/>
        <item h="1" x="79"/>
        <item h="1" x="83"/>
        <item h="1" x="60"/>
        <item h="1" x="82"/>
        <item h="1" x="57"/>
        <item h="1" x="70"/>
        <item h="1" x="69"/>
        <item h="1" x="66"/>
        <item t="default"/>
      </items>
    </pivotField>
    <pivotField axis="axisRow" showAll="0">
      <items count="7">
        <item x="5"/>
        <item h="1" x="1"/>
        <item x="2"/>
        <item x="3"/>
        <item x="4"/>
        <item x="0"/>
        <item t="default"/>
      </items>
    </pivotField>
    <pivotField showAll="0">
      <items count="3">
        <item x="0"/>
        <item x="1"/>
        <item t="default"/>
      </items>
    </pivotField>
    <pivotField showAll="0"/>
    <pivotField showAll="0">
      <items count="4">
        <item h="1" x="1"/>
        <item x="2"/>
        <item h="1" x="0"/>
        <item t="default"/>
      </items>
    </pivotField>
    <pivotField showAll="0"/>
    <pivotField numFmtId="9" showAll="0"/>
    <pivotField showAll="0"/>
    <pivotField dataField="1" numFmtId="2" showAll="0"/>
    <pivotField showAll="0">
      <items count="8">
        <item x="6"/>
        <item x="0"/>
        <item x="1"/>
        <item x="2"/>
        <item h="1" x="4"/>
        <item h="1" x="5"/>
        <item h="1" x="3"/>
        <item t="default"/>
      </items>
    </pivotField>
  </pivotFields>
  <rowFields count="1">
    <field x="3"/>
  </rowFields>
  <rowItems count="5">
    <i>
      <x v="2"/>
    </i>
    <i>
      <x v="3"/>
    </i>
    <i>
      <x v="4"/>
    </i>
    <i>
      <x v="5"/>
    </i>
    <i t="grand">
      <x/>
    </i>
  </rowItems>
  <colItems count="1">
    <i/>
  </colItems>
  <dataFields count="1">
    <dataField name="Sum of Net Sale" fld="10" baseField="0" baseItem="0" numFmtId="2"/>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F9B5F2-A05D-4D8A-BAD8-2C38DF39C6D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roducts">
  <location ref="A66:C71" firstHeaderRow="0" firstDataRow="1" firstDataCol="1"/>
  <pivotFields count="12">
    <pivotField showAll="0"/>
    <pivotField showAll="0"/>
    <pivotField numFmtId="15" showAll="0">
      <items count="85">
        <item x="6"/>
        <item x="13"/>
        <item x="5"/>
        <item h="1" x="12"/>
        <item h="1" x="11"/>
        <item h="1" x="9"/>
        <item x="8"/>
        <item x="15"/>
        <item x="14"/>
        <item x="2"/>
        <item h="1" x="4"/>
        <item h="1" x="7"/>
        <item h="1" x="3"/>
        <item x="10"/>
        <item x="0"/>
        <item x="1"/>
        <item h="1" x="23"/>
        <item h="1" x="18"/>
        <item h="1" x="31"/>
        <item h="1" x="20"/>
        <item h="1" x="16"/>
        <item h="1" x="36"/>
        <item h="1" x="28"/>
        <item h="1" x="35"/>
        <item h="1" x="22"/>
        <item h="1" x="34"/>
        <item h="1" x="25"/>
        <item h="1" x="27"/>
        <item h="1" x="24"/>
        <item h="1" x="17"/>
        <item h="1" x="30"/>
        <item h="1" x="19"/>
        <item h="1" x="62"/>
        <item h="1" x="32"/>
        <item h="1" x="21"/>
        <item h="1" x="26"/>
        <item h="1" x="29"/>
        <item h="1" x="33"/>
        <item h="1" x="37"/>
        <item h="1" x="38"/>
        <item h="1" x="45"/>
        <item h="1" x="72"/>
        <item h="1" x="58"/>
        <item h="1" x="48"/>
        <item h="1" x="50"/>
        <item h="1" x="77"/>
        <item h="1" x="76"/>
        <item h="1" x="42"/>
        <item h="1" x="75"/>
        <item h="1" x="49"/>
        <item h="1" x="78"/>
        <item h="1" x="80"/>
        <item h="1" x="59"/>
        <item h="1" x="65"/>
        <item h="1" x="73"/>
        <item h="1" x="46"/>
        <item h="1" x="81"/>
        <item h="1" x="64"/>
        <item h="1" x="74"/>
        <item h="1" x="55"/>
        <item h="1" x="39"/>
        <item h="1" x="51"/>
        <item h="1" x="52"/>
        <item h="1" x="47"/>
        <item h="1" x="53"/>
        <item h="1" x="68"/>
        <item h="1" x="63"/>
        <item h="1" x="67"/>
        <item h="1" x="54"/>
        <item h="1" x="61"/>
        <item h="1" x="44"/>
        <item h="1" x="56"/>
        <item h="1" x="40"/>
        <item h="1" x="43"/>
        <item h="1" x="71"/>
        <item h="1" x="41"/>
        <item h="1" x="79"/>
        <item h="1" x="83"/>
        <item h="1" x="60"/>
        <item h="1" x="82"/>
        <item h="1" x="57"/>
        <item h="1" x="70"/>
        <item h="1" x="69"/>
        <item h="1" x="66"/>
        <item t="default"/>
      </items>
    </pivotField>
    <pivotField axis="axisRow" showAll="0">
      <items count="7">
        <item x="5"/>
        <item h="1" x="1"/>
        <item x="2"/>
        <item x="3"/>
        <item x="4"/>
        <item x="0"/>
        <item t="default"/>
      </items>
    </pivotField>
    <pivotField showAll="0">
      <items count="3">
        <item x="0"/>
        <item x="1"/>
        <item t="default"/>
      </items>
    </pivotField>
    <pivotField showAll="0"/>
    <pivotField showAll="0">
      <items count="4">
        <item h="1" x="1"/>
        <item x="2"/>
        <item h="1" x="0"/>
        <item t="default"/>
      </items>
    </pivotField>
    <pivotField showAll="0"/>
    <pivotField numFmtId="9" showAll="0"/>
    <pivotField showAll="0"/>
    <pivotField dataField="1" numFmtId="2" showAll="0"/>
    <pivotField showAll="0">
      <items count="8">
        <item x="6"/>
        <item x="0"/>
        <item x="1"/>
        <item x="2"/>
        <item h="1" x="4"/>
        <item h="1" x="5"/>
        <item h="1" x="3"/>
        <item t="default"/>
      </items>
    </pivotField>
  </pivotFields>
  <rowFields count="1">
    <field x="3"/>
  </rowFields>
  <rowItems count="5">
    <i>
      <x v="2"/>
    </i>
    <i>
      <x v="3"/>
    </i>
    <i>
      <x v="4"/>
    </i>
    <i>
      <x v="5"/>
    </i>
    <i t="grand">
      <x/>
    </i>
  </rowItems>
  <colFields count="1">
    <field x="-2"/>
  </colFields>
  <colItems count="2">
    <i>
      <x/>
    </i>
    <i i="1">
      <x v="1"/>
    </i>
  </colItems>
  <dataFields count="2">
    <dataField name="Revenue" fld="10" baseField="0" baseItem="0"/>
    <dataField name="Average" fld="10" subtotal="average" baseField="3"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91C132-E415-4B2E-A3E4-B3CD9FD735F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6:B11" firstHeaderRow="1" firstDataRow="1" firstDataCol="1"/>
  <pivotFields count="12">
    <pivotField showAll="0"/>
    <pivotField showAll="0"/>
    <pivotField numFmtId="15" showAll="0">
      <items count="85">
        <item x="6"/>
        <item x="13"/>
        <item x="5"/>
        <item h="1" x="12"/>
        <item h="1" x="11"/>
        <item h="1" x="9"/>
        <item x="8"/>
        <item x="15"/>
        <item x="14"/>
        <item x="2"/>
        <item h="1" x="4"/>
        <item h="1" x="7"/>
        <item h="1" x="3"/>
        <item x="10"/>
        <item x="0"/>
        <item x="1"/>
        <item h="1" x="23"/>
        <item h="1" x="18"/>
        <item h="1" x="31"/>
        <item h="1" x="20"/>
        <item h="1" x="16"/>
        <item h="1" x="36"/>
        <item h="1" x="28"/>
        <item h="1" x="35"/>
        <item h="1" x="22"/>
        <item h="1" x="34"/>
        <item h="1" x="25"/>
        <item h="1" x="27"/>
        <item h="1" x="24"/>
        <item h="1" x="17"/>
        <item h="1" x="30"/>
        <item h="1" x="19"/>
        <item h="1" x="62"/>
        <item h="1" x="32"/>
        <item h="1" x="21"/>
        <item h="1" x="26"/>
        <item h="1" x="29"/>
        <item h="1" x="33"/>
        <item h="1" x="37"/>
        <item h="1" x="38"/>
        <item h="1" x="45"/>
        <item h="1" x="72"/>
        <item h="1" x="58"/>
        <item h="1" x="48"/>
        <item h="1" x="50"/>
        <item h="1" x="77"/>
        <item h="1" x="76"/>
        <item h="1" x="42"/>
        <item h="1" x="75"/>
        <item h="1" x="49"/>
        <item h="1" x="78"/>
        <item h="1" x="80"/>
        <item h="1" x="59"/>
        <item h="1" x="65"/>
        <item h="1" x="73"/>
        <item h="1" x="46"/>
        <item h="1" x="81"/>
        <item h="1" x="64"/>
        <item h="1" x="74"/>
        <item h="1" x="55"/>
        <item h="1" x="39"/>
        <item h="1" x="51"/>
        <item h="1" x="52"/>
        <item h="1" x="47"/>
        <item h="1" x="53"/>
        <item h="1" x="68"/>
        <item h="1" x="63"/>
        <item h="1" x="67"/>
        <item h="1" x="54"/>
        <item h="1" x="61"/>
        <item h="1" x="44"/>
        <item h="1" x="56"/>
        <item h="1" x="40"/>
        <item h="1" x="43"/>
        <item h="1" x="71"/>
        <item h="1" x="41"/>
        <item h="1" x="79"/>
        <item h="1" x="83"/>
        <item h="1" x="60"/>
        <item h="1" x="82"/>
        <item h="1" x="57"/>
        <item h="1" x="70"/>
        <item h="1" x="69"/>
        <item h="1" x="66"/>
        <item t="default"/>
      </items>
    </pivotField>
    <pivotField axis="axisRow" dataField="1" showAll="0" sortType="descending">
      <items count="7">
        <item x="5"/>
        <item h="1" x="1"/>
        <item x="2"/>
        <item x="3"/>
        <item x="4"/>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items count="4">
        <item h="1" x="1"/>
        <item x="2"/>
        <item h="1" x="0"/>
        <item t="default"/>
      </items>
    </pivotField>
    <pivotField showAll="0"/>
    <pivotField numFmtId="9" showAll="0"/>
    <pivotField showAll="0"/>
    <pivotField numFmtId="2" showAll="0"/>
    <pivotField showAll="0">
      <items count="8">
        <item x="6"/>
        <item x="0"/>
        <item x="1"/>
        <item x="2"/>
        <item h="1" x="4"/>
        <item h="1" x="5"/>
        <item h="1" x="3"/>
        <item t="default"/>
      </items>
    </pivotField>
  </pivotFields>
  <rowFields count="1">
    <field x="3"/>
  </rowFields>
  <rowItems count="5">
    <i>
      <x v="3"/>
    </i>
    <i>
      <x v="2"/>
    </i>
    <i>
      <x v="5"/>
    </i>
    <i>
      <x v="4"/>
    </i>
    <i t="grand">
      <x/>
    </i>
  </rowItems>
  <colItems count="1">
    <i/>
  </colItems>
  <dataFields count="1">
    <dataField name="Count of Product Name" fld="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245420-6084-45A5-8E41-60699278F92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7:B22" firstHeaderRow="1" firstDataRow="1" firstDataCol="1"/>
  <pivotFields count="12">
    <pivotField showAll="0"/>
    <pivotField showAll="0"/>
    <pivotField numFmtId="15" showAll="0">
      <items count="85">
        <item x="6"/>
        <item x="13"/>
        <item x="5"/>
        <item h="1" x="12"/>
        <item h="1" x="11"/>
        <item h="1" x="9"/>
        <item x="8"/>
        <item x="15"/>
        <item x="14"/>
        <item x="2"/>
        <item h="1" x="4"/>
        <item h="1" x="7"/>
        <item h="1" x="3"/>
        <item x="10"/>
        <item x="0"/>
        <item x="1"/>
        <item h="1" x="23"/>
        <item h="1" x="18"/>
        <item h="1" x="31"/>
        <item h="1" x="20"/>
        <item h="1" x="16"/>
        <item h="1" x="36"/>
        <item h="1" x="28"/>
        <item h="1" x="35"/>
        <item h="1" x="22"/>
        <item h="1" x="34"/>
        <item h="1" x="25"/>
        <item h="1" x="27"/>
        <item h="1" x="24"/>
        <item h="1" x="17"/>
        <item h="1" x="30"/>
        <item h="1" x="19"/>
        <item h="1" x="62"/>
        <item h="1" x="32"/>
        <item h="1" x="21"/>
        <item h="1" x="26"/>
        <item h="1" x="29"/>
        <item h="1" x="33"/>
        <item h="1" x="37"/>
        <item h="1" x="38"/>
        <item h="1" x="45"/>
        <item h="1" x="72"/>
        <item h="1" x="58"/>
        <item h="1" x="48"/>
        <item h="1" x="50"/>
        <item h="1" x="77"/>
        <item h="1" x="76"/>
        <item h="1" x="42"/>
        <item h="1" x="75"/>
        <item h="1" x="49"/>
        <item h="1" x="78"/>
        <item h="1" x="80"/>
        <item h="1" x="59"/>
        <item h="1" x="65"/>
        <item h="1" x="73"/>
        <item h="1" x="46"/>
        <item h="1" x="81"/>
        <item h="1" x="64"/>
        <item h="1" x="74"/>
        <item h="1" x="55"/>
        <item h="1" x="39"/>
        <item h="1" x="51"/>
        <item h="1" x="52"/>
        <item h="1" x="47"/>
        <item h="1" x="53"/>
        <item h="1" x="68"/>
        <item h="1" x="63"/>
        <item h="1" x="67"/>
        <item h="1" x="54"/>
        <item h="1" x="61"/>
        <item h="1" x="44"/>
        <item h="1" x="56"/>
        <item h="1" x="40"/>
        <item h="1" x="43"/>
        <item h="1" x="71"/>
        <item h="1" x="41"/>
        <item h="1" x="79"/>
        <item h="1" x="83"/>
        <item h="1" x="60"/>
        <item h="1" x="82"/>
        <item h="1" x="57"/>
        <item h="1" x="70"/>
        <item h="1" x="69"/>
        <item h="1" x="66"/>
        <item t="default"/>
      </items>
    </pivotField>
    <pivotField showAll="0">
      <items count="7">
        <item x="5"/>
        <item h="1" x="1"/>
        <item x="2"/>
        <item x="3"/>
        <item x="4"/>
        <item x="0"/>
        <item t="default"/>
      </items>
    </pivotField>
    <pivotField showAll="0">
      <items count="3">
        <item x="0"/>
        <item x="1"/>
        <item t="default"/>
      </items>
    </pivotField>
    <pivotField showAll="0"/>
    <pivotField showAll="0">
      <items count="4">
        <item h="1" x="1"/>
        <item x="2"/>
        <item h="1" x="0"/>
        <item t="default"/>
      </items>
    </pivotField>
    <pivotField dataField="1" showAll="0"/>
    <pivotField numFmtId="9" showAll="0"/>
    <pivotField showAll="0"/>
    <pivotField numFmtId="2" showAll="0"/>
    <pivotField axis="axisRow" showAll="0">
      <items count="8">
        <item x="6"/>
        <item x="0"/>
        <item x="1"/>
        <item x="2"/>
        <item h="1" x="4"/>
        <item h="1" x="5"/>
        <item h="1" x="3"/>
        <item t="default"/>
      </items>
    </pivotField>
  </pivotFields>
  <rowFields count="1">
    <field x="11"/>
  </rowFields>
  <rowItems count="5">
    <i>
      <x/>
    </i>
    <i>
      <x v="1"/>
    </i>
    <i>
      <x v="2"/>
    </i>
    <i>
      <x v="3"/>
    </i>
    <i t="grand">
      <x/>
    </i>
  </rowItems>
  <colItems count="1">
    <i/>
  </colItems>
  <dataFields count="1">
    <dataField name="Number of Sales" fld="7" baseField="0" baseItem="0" numFmtId="1"/>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C26017-03DC-4738-972B-E5E44ED8B8D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D2" firstHeaderRow="0" firstDataRow="1" firstDataCol="0"/>
  <pivotFields count="12">
    <pivotField dataField="1" showAll="0"/>
    <pivotField showAll="0"/>
    <pivotField numFmtId="15" showAll="0">
      <items count="85">
        <item x="6"/>
        <item x="13"/>
        <item x="5"/>
        <item h="1" x="12"/>
        <item h="1" x="11"/>
        <item h="1" x="9"/>
        <item x="8"/>
        <item x="15"/>
        <item x="14"/>
        <item x="2"/>
        <item h="1" x="4"/>
        <item h="1" x="7"/>
        <item h="1" x="3"/>
        <item x="10"/>
        <item x="0"/>
        <item x="1"/>
        <item h="1" x="23"/>
        <item h="1" x="18"/>
        <item h="1" x="31"/>
        <item h="1" x="20"/>
        <item h="1" x="16"/>
        <item h="1" x="36"/>
        <item h="1" x="28"/>
        <item h="1" x="35"/>
        <item h="1" x="22"/>
        <item h="1" x="34"/>
        <item h="1" x="25"/>
        <item h="1" x="27"/>
        <item h="1" x="24"/>
        <item h="1" x="17"/>
        <item h="1" x="30"/>
        <item h="1" x="19"/>
        <item h="1" x="62"/>
        <item h="1" x="32"/>
        <item h="1" x="21"/>
        <item h="1" x="26"/>
        <item h="1" x="29"/>
        <item h="1" x="33"/>
        <item h="1" x="37"/>
        <item h="1" x="38"/>
        <item h="1" x="45"/>
        <item h="1" x="72"/>
        <item h="1" x="58"/>
        <item h="1" x="48"/>
        <item h="1" x="50"/>
        <item h="1" x="77"/>
        <item h="1" x="76"/>
        <item h="1" x="42"/>
        <item h="1" x="75"/>
        <item h="1" x="49"/>
        <item h="1" x="78"/>
        <item h="1" x="80"/>
        <item h="1" x="59"/>
        <item h="1" x="65"/>
        <item h="1" x="73"/>
        <item h="1" x="46"/>
        <item h="1" x="81"/>
        <item h="1" x="64"/>
        <item h="1" x="74"/>
        <item h="1" x="55"/>
        <item h="1" x="39"/>
        <item h="1" x="51"/>
        <item h="1" x="52"/>
        <item h="1" x="47"/>
        <item h="1" x="53"/>
        <item h="1" x="68"/>
        <item h="1" x="63"/>
        <item h="1" x="67"/>
        <item h="1" x="54"/>
        <item h="1" x="61"/>
        <item h="1" x="44"/>
        <item h="1" x="56"/>
        <item h="1" x="40"/>
        <item h="1" x="43"/>
        <item h="1" x="71"/>
        <item h="1" x="41"/>
        <item h="1" x="79"/>
        <item h="1" x="83"/>
        <item h="1" x="60"/>
        <item h="1" x="82"/>
        <item h="1" x="57"/>
        <item h="1" x="70"/>
        <item h="1" x="69"/>
        <item h="1" x="66"/>
        <item t="default"/>
      </items>
    </pivotField>
    <pivotField showAll="0">
      <items count="7">
        <item x="5"/>
        <item h="1" x="1"/>
        <item x="2"/>
        <item x="3"/>
        <item x="4"/>
        <item x="0"/>
        <item t="default"/>
      </items>
    </pivotField>
    <pivotField showAll="0">
      <items count="3">
        <item x="0"/>
        <item x="1"/>
        <item t="default"/>
      </items>
    </pivotField>
    <pivotField showAll="0"/>
    <pivotField showAll="0">
      <items count="4">
        <item h="1" x="1"/>
        <item x="2"/>
        <item h="1" x="0"/>
        <item t="default"/>
      </items>
    </pivotField>
    <pivotField showAll="0"/>
    <pivotField dataField="1" numFmtId="9" showAll="0"/>
    <pivotField showAll="0"/>
    <pivotField dataField="1" numFmtId="2" showAll="0"/>
    <pivotField showAll="0">
      <items count="8">
        <item x="6"/>
        <item x="0"/>
        <item x="1"/>
        <item x="2"/>
        <item h="1" x="4"/>
        <item h="1" x="5"/>
        <item h="1" x="3"/>
        <item t="default"/>
      </items>
    </pivotField>
  </pivotFields>
  <rowItems count="1">
    <i/>
  </rowItems>
  <colFields count="1">
    <field x="-2"/>
  </colFields>
  <colItems count="4">
    <i>
      <x/>
    </i>
    <i i="1">
      <x v="1"/>
    </i>
    <i i="2">
      <x v="2"/>
    </i>
    <i i="3">
      <x v="3"/>
    </i>
  </colItems>
  <dataFields count="4">
    <dataField name="Total Revenue" fld="10" baseField="0" baseItem="0" numFmtId="2"/>
    <dataField name="Average Discount" fld="8" subtotal="average" baseField="0" baseItem="1" numFmtId="2"/>
    <dataField name="Average Revenue" fld="10" subtotal="average" baseField="0" baseItem="1" numFmtId="2"/>
    <dataField name=" Total Orders" fld="0" subtotal="count" baseField="0" baseItem="0"/>
  </dataFields>
  <formats count="3">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DE638D-37BD-485B-BB44-5D31277C7C5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29:B34" firstHeaderRow="1" firstDataRow="1" firstDataCol="1"/>
  <pivotFields count="12">
    <pivotField showAll="0"/>
    <pivotField showAll="0"/>
    <pivotField numFmtId="15" showAll="0">
      <items count="85">
        <item x="6"/>
        <item x="13"/>
        <item x="5"/>
        <item h="1" x="12"/>
        <item h="1" x="11"/>
        <item h="1" x="9"/>
        <item x="8"/>
        <item x="15"/>
        <item x="14"/>
        <item x="2"/>
        <item h="1" x="4"/>
        <item h="1" x="7"/>
        <item h="1" x="3"/>
        <item x="10"/>
        <item x="0"/>
        <item x="1"/>
        <item h="1" x="23"/>
        <item h="1" x="18"/>
        <item h="1" x="31"/>
        <item h="1" x="20"/>
        <item h="1" x="16"/>
        <item h="1" x="36"/>
        <item h="1" x="28"/>
        <item h="1" x="35"/>
        <item h="1" x="22"/>
        <item h="1" x="34"/>
        <item h="1" x="25"/>
        <item h="1" x="27"/>
        <item h="1" x="24"/>
        <item h="1" x="17"/>
        <item h="1" x="30"/>
        <item h="1" x="19"/>
        <item h="1" x="62"/>
        <item h="1" x="32"/>
        <item h="1" x="21"/>
        <item h="1" x="26"/>
        <item h="1" x="29"/>
        <item h="1" x="33"/>
        <item h="1" x="37"/>
        <item h="1" x="38"/>
        <item h="1" x="45"/>
        <item h="1" x="72"/>
        <item h="1" x="58"/>
        <item h="1" x="48"/>
        <item h="1" x="50"/>
        <item h="1" x="77"/>
        <item h="1" x="76"/>
        <item h="1" x="42"/>
        <item h="1" x="75"/>
        <item h="1" x="49"/>
        <item h="1" x="78"/>
        <item h="1" x="80"/>
        <item h="1" x="59"/>
        <item h="1" x="65"/>
        <item h="1" x="73"/>
        <item h="1" x="46"/>
        <item h="1" x="81"/>
        <item h="1" x="64"/>
        <item h="1" x="74"/>
        <item h="1" x="55"/>
        <item h="1" x="39"/>
        <item h="1" x="51"/>
        <item h="1" x="52"/>
        <item h="1" x="47"/>
        <item h="1" x="53"/>
        <item h="1" x="68"/>
        <item h="1" x="63"/>
        <item h="1" x="67"/>
        <item h="1" x="54"/>
        <item h="1" x="61"/>
        <item h="1" x="44"/>
        <item h="1" x="56"/>
        <item h="1" x="40"/>
        <item h="1" x="43"/>
        <item h="1" x="71"/>
        <item h="1" x="41"/>
        <item h="1" x="79"/>
        <item h="1" x="83"/>
        <item h="1" x="60"/>
        <item h="1" x="82"/>
        <item h="1" x="57"/>
        <item h="1" x="70"/>
        <item h="1" x="69"/>
        <item h="1" x="66"/>
        <item t="default"/>
      </items>
    </pivotField>
    <pivotField showAll="0">
      <items count="7">
        <item x="5"/>
        <item h="1" x="1"/>
        <item x="2"/>
        <item x="3"/>
        <item x="4"/>
        <item x="0"/>
        <item t="default"/>
      </items>
    </pivotField>
    <pivotField showAll="0">
      <items count="3">
        <item x="0"/>
        <item x="1"/>
        <item t="default"/>
      </items>
    </pivotField>
    <pivotField showAll="0"/>
    <pivotField showAll="0">
      <items count="4">
        <item h="1" x="1"/>
        <item x="2"/>
        <item h="1" x="0"/>
        <item t="default"/>
      </items>
    </pivotField>
    <pivotField showAll="0"/>
    <pivotField numFmtId="9" showAll="0"/>
    <pivotField showAll="0"/>
    <pivotField dataField="1" numFmtId="2" showAll="0"/>
    <pivotField axis="axisRow" showAll="0">
      <items count="8">
        <item x="6"/>
        <item x="0"/>
        <item x="1"/>
        <item x="2"/>
        <item h="1" x="4"/>
        <item h="1" x="5"/>
        <item h="1" x="3"/>
        <item t="default"/>
      </items>
    </pivotField>
  </pivotFields>
  <rowFields count="1">
    <field x="11"/>
  </rowFields>
  <rowItems count="5">
    <i>
      <x/>
    </i>
    <i>
      <x v="1"/>
    </i>
    <i>
      <x v="2"/>
    </i>
    <i>
      <x v="3"/>
    </i>
    <i t="grand">
      <x/>
    </i>
  </rowItems>
  <colItems count="1">
    <i/>
  </colItems>
  <dataFields count="1">
    <dataField name="Sum of Net Sale" fld="10" baseField="0" baseItem="0" numFmtId="2"/>
  </dataFields>
  <formats count="2">
    <format dxfId="6">
      <pivotArea collapsedLevelsAreSubtotals="1" fieldPosition="0">
        <references count="1">
          <reference field="11" count="1">
            <x v="0"/>
          </reference>
        </references>
      </pivotArea>
    </format>
    <format dxfId="5">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365787-5573-4102-8FD0-6A162D4C8D6A}"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4:C59" firstHeaderRow="0" firstDataRow="1" firstDataCol="1"/>
  <pivotFields count="12">
    <pivotField showAll="0"/>
    <pivotField showAll="0"/>
    <pivotField numFmtId="15" showAll="0">
      <items count="85">
        <item x="6"/>
        <item x="13"/>
        <item x="5"/>
        <item h="1" x="12"/>
        <item h="1" x="11"/>
        <item h="1" x="9"/>
        <item x="8"/>
        <item x="15"/>
        <item x="14"/>
        <item x="2"/>
        <item h="1" x="4"/>
        <item h="1" x="7"/>
        <item h="1" x="3"/>
        <item x="10"/>
        <item x="0"/>
        <item x="1"/>
        <item h="1" x="23"/>
        <item h="1" x="18"/>
        <item h="1" x="31"/>
        <item h="1" x="20"/>
        <item h="1" x="16"/>
        <item h="1" x="36"/>
        <item h="1" x="28"/>
        <item h="1" x="35"/>
        <item h="1" x="22"/>
        <item h="1" x="34"/>
        <item h="1" x="25"/>
        <item h="1" x="27"/>
        <item h="1" x="24"/>
        <item h="1" x="17"/>
        <item h="1" x="30"/>
        <item h="1" x="19"/>
        <item h="1" x="62"/>
        <item h="1" x="32"/>
        <item h="1" x="21"/>
        <item h="1" x="26"/>
        <item h="1" x="29"/>
        <item h="1" x="33"/>
        <item h="1" x="37"/>
        <item h="1" x="38"/>
        <item h="1" x="45"/>
        <item h="1" x="72"/>
        <item h="1" x="58"/>
        <item h="1" x="48"/>
        <item h="1" x="50"/>
        <item h="1" x="77"/>
        <item h="1" x="76"/>
        <item h="1" x="42"/>
        <item h="1" x="75"/>
        <item h="1" x="49"/>
        <item h="1" x="78"/>
        <item h="1" x="80"/>
        <item h="1" x="59"/>
        <item h="1" x="65"/>
        <item h="1" x="73"/>
        <item h="1" x="46"/>
        <item h="1" x="81"/>
        <item h="1" x="64"/>
        <item h="1" x="74"/>
        <item h="1" x="55"/>
        <item h="1" x="39"/>
        <item h="1" x="51"/>
        <item h="1" x="52"/>
        <item h="1" x="47"/>
        <item h="1" x="53"/>
        <item h="1" x="68"/>
        <item h="1" x="63"/>
        <item h="1" x="67"/>
        <item h="1" x="54"/>
        <item h="1" x="61"/>
        <item h="1" x="44"/>
        <item h="1" x="56"/>
        <item h="1" x="40"/>
        <item h="1" x="43"/>
        <item h="1" x="71"/>
        <item h="1" x="41"/>
        <item h="1" x="79"/>
        <item h="1" x="83"/>
        <item h="1" x="60"/>
        <item h="1" x="82"/>
        <item h="1" x="57"/>
        <item h="1" x="70"/>
        <item h="1" x="69"/>
        <item h="1" x="66"/>
        <item t="default"/>
      </items>
    </pivotField>
    <pivotField showAll="0">
      <items count="7">
        <item x="5"/>
        <item h="1" x="1"/>
        <item x="2"/>
        <item x="3"/>
        <item x="4"/>
        <item x="0"/>
        <item t="default"/>
      </items>
    </pivotField>
    <pivotField showAll="0">
      <items count="3">
        <item x="0"/>
        <item x="1"/>
        <item t="default"/>
      </items>
    </pivotField>
    <pivotField showAll="0"/>
    <pivotField showAll="0">
      <items count="4">
        <item h="1" x="1"/>
        <item x="2"/>
        <item h="1" x="0"/>
        <item t="default"/>
      </items>
    </pivotField>
    <pivotField showAll="0"/>
    <pivotField numFmtId="9" showAll="0"/>
    <pivotField dataField="1" showAll="0"/>
    <pivotField dataField="1" numFmtId="2" showAll="0"/>
    <pivotField axis="axisRow" showAll="0">
      <items count="8">
        <item x="6"/>
        <item x="0"/>
        <item x="1"/>
        <item x="2"/>
        <item h="1" x="4"/>
        <item h="1" x="5"/>
        <item h="1" x="3"/>
        <item t="default"/>
      </items>
    </pivotField>
  </pivotFields>
  <rowFields count="1">
    <field x="11"/>
  </rowFields>
  <rowItems count="5">
    <i>
      <x/>
    </i>
    <i>
      <x v="1"/>
    </i>
    <i>
      <x v="2"/>
    </i>
    <i>
      <x v="3"/>
    </i>
    <i t="grand">
      <x/>
    </i>
  </rowItems>
  <colFields count="1">
    <field x="-2"/>
  </colFields>
  <colItems count="2">
    <i>
      <x/>
    </i>
    <i i="1">
      <x v="1"/>
    </i>
  </colItems>
  <dataFields count="2">
    <dataField name="Sum of Actual Sale" fld="9" baseField="0" baseItem="0"/>
    <dataField name="Sum of Net Sale" fld="10" baseField="0" baseItem="0"/>
  </dataFields>
  <chartFormats count="8">
    <chartFormat chart="3" format="16"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11" count="1" selected="0">
            <x v="1"/>
          </reference>
        </references>
      </pivotArea>
    </chartFormat>
    <chartFormat chart="3" format="19">
      <pivotArea type="data" outline="0" fieldPosition="0">
        <references count="2">
          <reference field="4294967294" count="1" selected="0">
            <x v="1"/>
          </reference>
          <reference field="11" count="1" selected="0">
            <x v="2"/>
          </reference>
        </references>
      </pivotArea>
    </chartFormat>
    <chartFormat chart="3" format="20">
      <pivotArea type="data" outline="0" fieldPosition="0">
        <references count="2">
          <reference field="4294967294" count="1" selected="0">
            <x v="1"/>
          </reference>
          <reference field="11" count="1" selected="0">
            <x v="3"/>
          </reference>
        </references>
      </pivotArea>
    </chartFormat>
    <chartFormat chart="3" format="21">
      <pivotArea type="data" outline="0" fieldPosition="0">
        <references count="2">
          <reference field="4294967294" count="1" selected="0">
            <x v="1"/>
          </reference>
          <reference field="11" count="1" selected="0">
            <x v="4"/>
          </reference>
        </references>
      </pivotArea>
    </chartFormat>
    <chartFormat chart="3" format="22">
      <pivotArea type="data" outline="0" fieldPosition="0">
        <references count="2">
          <reference field="4294967294" count="1" selected="0">
            <x v="1"/>
          </reference>
          <reference field="11" count="1" selected="0">
            <x v="5"/>
          </reference>
        </references>
      </pivotArea>
    </chartFormat>
    <chartFormat chart="3" format="23">
      <pivotArea type="data" outline="0" fieldPosition="0">
        <references count="2">
          <reference field="4294967294" count="1" selected="0">
            <x v="1"/>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3C01667E-49F5-4B99-BA1E-721EB10FC6D8}" sourceName="Order Type">
  <pivotTables>
    <pivotTable tabId="16" name="PivotTable1"/>
    <pivotTable tabId="16" name="PivotTable2"/>
    <pivotTable tabId="16" name="PivotTable3"/>
    <pivotTable tabId="16" name="PivotTable4"/>
    <pivotTable tabId="16" name="PivotTable5"/>
    <pivotTable tabId="16" name="PivotTable6"/>
    <pivotTable tabId="16" name="PivotTable7"/>
  </pivotTables>
  <data>
    <tabular pivotCacheId="131840436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5E3B4321-287F-47D7-BA2D-3AAD704BE412}" sourceName="Agent">
  <pivotTables>
    <pivotTable tabId="16" name="PivotTable1"/>
    <pivotTable tabId="16" name="PivotTable2"/>
    <pivotTable tabId="16" name="PivotTable3"/>
    <pivotTable tabId="16" name="PivotTable4"/>
    <pivotTable tabId="16" name="PivotTable5"/>
    <pivotTable tabId="16" name="PivotTable6"/>
    <pivotTable tabId="16" name="PivotTable7"/>
  </pivotTables>
  <data>
    <tabular pivotCacheId="1318404362">
      <items count="3">
        <i x="1"/>
        <i x="2"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39E63731-FA13-4EDF-BB76-596853FCECAE}" sourceName="Day">
  <pivotTables>
    <pivotTable tabId="16" name="PivotTable1"/>
    <pivotTable tabId="16" name="PivotTable2"/>
    <pivotTable tabId="16" name="PivotTable3"/>
    <pivotTable tabId="16" name="PivotTable4"/>
    <pivotTable tabId="16" name="PivotTable5"/>
    <pivotTable tabId="16" name="PivotTable6"/>
    <pivotTable tabId="16" name="PivotTable7"/>
  </pivotTables>
  <data>
    <tabular pivotCacheId="1318404362">
      <items count="7">
        <i x="6" s="1"/>
        <i x="0" s="1"/>
        <i x="1" s="1"/>
        <i x="2" s="1"/>
        <i x="4" nd="1"/>
        <i x="5"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Date" xr10:uid="{48409602-FCA0-47A3-8742-A2F42D83F1EE}" sourceName="Sale Date">
  <pivotTables>
    <pivotTable tabId="16" name="PivotTable1"/>
    <pivotTable tabId="16" name="PivotTable2"/>
    <pivotTable tabId="16" name="PivotTable3"/>
    <pivotTable tabId="16" name="PivotTable4"/>
    <pivotTable tabId="16" name="PivotTable5"/>
    <pivotTable tabId="16" name="PivotTable6"/>
    <pivotTable tabId="16" name="PivotTable7"/>
  </pivotTables>
  <data>
    <tabular pivotCacheId="1318404362">
      <items count="84">
        <i x="6" s="1"/>
        <i x="13" s="1"/>
        <i x="5" s="1"/>
        <i x="8" s="1"/>
        <i x="15" s="1"/>
        <i x="14" s="1"/>
        <i x="2" s="1"/>
        <i x="10" s="1"/>
        <i x="0" s="1"/>
        <i x="1" s="1"/>
        <i x="20"/>
        <i x="16"/>
        <i x="36"/>
        <i x="28"/>
        <i x="25"/>
        <i x="27"/>
        <i x="24"/>
        <i x="17"/>
        <i x="32"/>
        <i x="21"/>
        <i x="26"/>
        <i x="29"/>
        <i x="45"/>
        <i x="58"/>
        <i x="42"/>
        <i x="75"/>
        <i x="49"/>
        <i x="65"/>
        <i x="73"/>
        <i x="46"/>
        <i x="52"/>
        <i x="47"/>
        <i x="67"/>
        <i x="61"/>
        <i x="71"/>
        <i x="41"/>
        <i x="79"/>
        <i x="83"/>
        <i x="70"/>
        <i x="69"/>
        <i x="66"/>
        <i x="12" nd="1"/>
        <i x="11" nd="1"/>
        <i x="9" nd="1"/>
        <i x="4" nd="1"/>
        <i x="7" nd="1"/>
        <i x="3" nd="1"/>
        <i x="23" nd="1"/>
        <i x="18" nd="1"/>
        <i x="31" nd="1"/>
        <i x="35" nd="1"/>
        <i x="22" nd="1"/>
        <i x="34" nd="1"/>
        <i x="30" nd="1"/>
        <i x="19" nd="1"/>
        <i x="62" nd="1"/>
        <i x="33" nd="1"/>
        <i x="37" nd="1"/>
        <i x="38" nd="1"/>
        <i x="72" nd="1"/>
        <i x="48" nd="1"/>
        <i x="50" nd="1"/>
        <i x="77" nd="1"/>
        <i x="76" nd="1"/>
        <i x="78" nd="1"/>
        <i x="80" nd="1"/>
        <i x="59" nd="1"/>
        <i x="81" nd="1"/>
        <i x="64" nd="1"/>
        <i x="74" nd="1"/>
        <i x="55" nd="1"/>
        <i x="39" nd="1"/>
        <i x="51" nd="1"/>
        <i x="53" nd="1"/>
        <i x="68" nd="1"/>
        <i x="63" nd="1"/>
        <i x="54" nd="1"/>
        <i x="44" nd="1"/>
        <i x="56" nd="1"/>
        <i x="40" nd="1"/>
        <i x="43" nd="1"/>
        <i x="60" nd="1"/>
        <i x="82" nd="1"/>
        <i x="57"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0A965FA-5F26-4012-B449-3DC9851BA262}" sourceName="Product Name">
  <pivotTables>
    <pivotTable tabId="16" name="PivotTable1"/>
    <pivotTable tabId="16" name="PivotTable2"/>
    <pivotTable tabId="16" name="PivotTable3"/>
    <pivotTable tabId="16" name="PivotTable4"/>
    <pivotTable tabId="16" name="PivotTable5"/>
    <pivotTable tabId="16" name="PivotTable6"/>
    <pivotTable tabId="16" name="PivotTable7"/>
  </pivotTables>
  <data>
    <tabular pivotCacheId="1318404362">
      <items count="6">
        <i x="1"/>
        <i x="2" s="1"/>
        <i x="3" s="1"/>
        <i x="4" s="1"/>
        <i x="0"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78C99235-CEAA-45E5-A985-DA5F02B5921F}" cache="Slicer_Order_Type" caption="Order Type" style="Slicer Style 2" rowHeight="234950"/>
  <slicer name="Agent" xr10:uid="{113ACC5A-E2D0-4536-8A8E-6A8A2A810361}" cache="Slicer_Agent" caption="Agent" style="Slicer Style 2" rowHeight="234950"/>
  <slicer name="Day" xr10:uid="{51542C85-13CE-471A-AE80-DD5E2A12D4BF}" cache="Slicer_Day" caption="Day" style="SlicerStyleLight4" rowHeight="234950"/>
  <slicer name="Sale Date" xr10:uid="{0EE4C864-4BD7-4CD7-A546-F608FAAF9A38}" cache="Slicer_Sale_Date" caption="Sale Date" style="SlicerStyleLight4" rowHeight="234950"/>
  <slicer name="Product Name" xr10:uid="{C627287B-D6A5-499A-A717-E2B8579E4401}" cache="Slicer_Product_Name" caption="Product Name"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CC47A-0580-46C0-9EAA-224BAD81DF34}" name="Table3" displayName="Table3" ref="A1:L795" totalsRowShown="0">
  <autoFilter ref="A1:L795" xr:uid="{115CC47A-0580-46C0-9EAA-224BAD81DF34}"/>
  <tableColumns count="12">
    <tableColumn id="1" xr3:uid="{CEBFDD22-B1E3-43DF-BEA7-30B519BF2E32}" name="Order ID"/>
    <tableColumn id="2" xr3:uid="{2A318567-0528-4608-9FA3-F9CAEC00CFAD}" name="Product ID"/>
    <tableColumn id="3" xr3:uid="{C39A216F-D00E-4EB9-8CA5-A50CC5275B26}" name="Sale Date" dataDxfId="12"/>
    <tableColumn id="4" xr3:uid="{FD366191-0E58-4A4B-92A2-1975810D6836}" name="Product Name"/>
    <tableColumn id="5" xr3:uid="{6F50430D-0895-4D23-B526-774187FC28A0}" name="Order Type"/>
    <tableColumn id="6" xr3:uid="{50FAAB79-47B1-4D11-A38E-E9B152FFC8A8}" name="Price of One Product"/>
    <tableColumn id="7" xr3:uid="{9824C29B-7D93-4E1E-9F4B-2F7A051A0898}" name="Agent"/>
    <tableColumn id="8" xr3:uid="{861E501C-399A-436B-B893-EB5155C0F3BE}" name="No of Products in one Sale" dataDxfId="11"/>
    <tableColumn id="9" xr3:uid="{C9CD15F4-319D-434D-BD43-0E11DFD65D1E}" name="Discount" dataDxfId="10">
      <calculatedColumnFormula>RAND()</calculatedColumnFormula>
    </tableColumn>
    <tableColumn id="10" xr3:uid="{5D4D65BE-AC52-4E78-A204-5E15A7A40CC5}" name="Actual Sale" dataDxfId="9">
      <calculatedColumnFormula>PRODUCT(Table3[[#This Row],[Price of One Product]],Table3[[#This Row],[No of Products in one Sale]])</calculatedColumnFormula>
    </tableColumn>
    <tableColumn id="11" xr3:uid="{87105CB5-537F-4DC4-879E-4BEFA1DD4DEC}" name="Net Sale" dataDxfId="8">
      <calculatedColumnFormula>Table3[[#This Row],[Actual Sale]]*(1-Table3[[#This Row],[Discount]])</calculatedColumnFormula>
    </tableColumn>
    <tableColumn id="12" xr3:uid="{C9C7DF8B-7828-4D28-A38A-AE172E8CB576}" name="Day" dataDxfId="7">
      <calculatedColumnFormula>TEXT(Table3[[#This Row],[Sale Date]],"dddd")</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Custom 11">
      <a:dk1>
        <a:sysClr val="windowText" lastClr="000000"/>
      </a:dk1>
      <a:lt1>
        <a:srgbClr val="F5F1E8"/>
      </a:lt1>
      <a:dk2>
        <a:srgbClr val="44546A"/>
      </a:dk2>
      <a:lt2>
        <a:srgbClr val="E7E6E6"/>
      </a:lt2>
      <a:accent1>
        <a:srgbClr val="4B1F5C"/>
      </a:accent1>
      <a:accent2>
        <a:srgbClr val="F5F1E8"/>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04F5301-9414-4A5C-9C1C-403361265CDB}">
  <we:reference id="wa200005502" version="1.0.0.13" store="en-GB" storeType="OMEX"/>
  <we:alternateReferences>
    <we:reference id="wa200005502" version="1.0.0.13" store="WA200005502" storeType="OMEX"/>
  </we:alternateReferences>
  <we:properties>
    <we:property name="docId" value="&quot;QdGU6SugUDY55BIov8ot2&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2ED3-1645-4E1E-B968-DA4FAD27528E}">
  <dimension ref="A1:L795"/>
  <sheetViews>
    <sheetView workbookViewId="0"/>
  </sheetViews>
  <sheetFormatPr defaultRowHeight="14.4" x14ac:dyDescent="0.3"/>
  <cols>
    <col min="1" max="1" width="10.88671875" bestFit="1" customWidth="1"/>
    <col min="2" max="2" width="12.33203125" customWidth="1"/>
    <col min="3" max="3" width="11.44140625" customWidth="1"/>
    <col min="4" max="4" width="28.6640625" bestFit="1" customWidth="1"/>
    <col min="5" max="5" width="13" customWidth="1"/>
    <col min="6" max="6" width="21.33203125" customWidth="1"/>
    <col min="7" max="7" width="15.33203125" bestFit="1" customWidth="1"/>
    <col min="8" max="8" width="26.33203125" customWidth="1"/>
    <col min="9" max="9" width="12.88671875" bestFit="1" customWidth="1"/>
    <col min="10" max="10" width="12.5546875" bestFit="1" customWidth="1"/>
    <col min="11" max="11" width="8.88671875" style="6"/>
    <col min="12" max="12" width="10.44140625" bestFit="1" customWidth="1"/>
  </cols>
  <sheetData>
    <row r="1" spans="1:12" x14ac:dyDescent="0.3">
      <c r="A1" t="s">
        <v>3</v>
      </c>
      <c r="B1" t="s">
        <v>50</v>
      </c>
      <c r="C1" t="s">
        <v>57</v>
      </c>
      <c r="D1" t="s">
        <v>58</v>
      </c>
      <c r="E1" t="s">
        <v>65</v>
      </c>
      <c r="F1" t="s">
        <v>68</v>
      </c>
      <c r="G1" t="s">
        <v>69</v>
      </c>
      <c r="H1" t="s">
        <v>70</v>
      </c>
      <c r="I1" t="s">
        <v>819</v>
      </c>
      <c r="J1" t="s">
        <v>831</v>
      </c>
      <c r="K1" s="6" t="s">
        <v>832</v>
      </c>
      <c r="L1" t="s">
        <v>833</v>
      </c>
    </row>
    <row r="2" spans="1:12" x14ac:dyDescent="0.3">
      <c r="A2" t="s">
        <v>4</v>
      </c>
      <c r="B2" t="s">
        <v>51</v>
      </c>
      <c r="C2" s="1">
        <v>44739</v>
      </c>
      <c r="D2" t="s">
        <v>59</v>
      </c>
      <c r="E2" t="s">
        <v>66</v>
      </c>
      <c r="F2">
        <v>72</v>
      </c>
      <c r="G2" t="s">
        <v>0</v>
      </c>
      <c r="H2" s="2">
        <v>8</v>
      </c>
      <c r="I2" s="3">
        <v>1.372080123313592E-2</v>
      </c>
      <c r="J2">
        <f>PRODUCT(Table3[[#This Row],[Price of One Product]],Table3[[#This Row],[No of Products in one Sale]])</f>
        <v>576</v>
      </c>
      <c r="K2" s="6">
        <f>Table3[[#This Row],[Actual Sale]]*(1-Table3[[#This Row],[Discount]])</f>
        <v>568.09681848971377</v>
      </c>
      <c r="L2" t="str">
        <f>TEXT(Table3[[#This Row],[Sale Date]],"dddd")</f>
        <v>Monday</v>
      </c>
    </row>
    <row r="3" spans="1:12" x14ac:dyDescent="0.3">
      <c r="A3" t="s">
        <v>5</v>
      </c>
      <c r="B3" t="s">
        <v>52</v>
      </c>
      <c r="C3" s="1">
        <v>44740</v>
      </c>
      <c r="D3" t="s">
        <v>60</v>
      </c>
      <c r="E3" t="s">
        <v>67</v>
      </c>
      <c r="F3">
        <v>65</v>
      </c>
      <c r="G3" t="s">
        <v>1</v>
      </c>
      <c r="H3" s="2">
        <v>7</v>
      </c>
      <c r="I3" s="3">
        <v>2.2083854314921911E-2</v>
      </c>
      <c r="J3">
        <f>PRODUCT(Table3[[#This Row],[Price of One Product]],Table3[[#This Row],[No of Products in one Sale]])</f>
        <v>455</v>
      </c>
      <c r="K3" s="6">
        <f>Table3[[#This Row],[Actual Sale]]*(1-Table3[[#This Row],[Discount]])</f>
        <v>444.95184628671052</v>
      </c>
      <c r="L3" t="str">
        <f>TEXT(Table3[[#This Row],[Sale Date]],"dddd")</f>
        <v>Tuesday</v>
      </c>
    </row>
    <row r="4" spans="1:12" x14ac:dyDescent="0.3">
      <c r="A4" t="s">
        <v>6</v>
      </c>
      <c r="B4" t="s">
        <v>53</v>
      </c>
      <c r="C4" s="1">
        <v>44734</v>
      </c>
      <c r="D4" t="s">
        <v>61</v>
      </c>
      <c r="E4" t="s">
        <v>66</v>
      </c>
      <c r="F4">
        <v>250</v>
      </c>
      <c r="G4" t="s">
        <v>2</v>
      </c>
      <c r="H4" s="2">
        <v>3</v>
      </c>
      <c r="I4" s="3">
        <v>0.92842323956324613</v>
      </c>
      <c r="J4">
        <f>PRODUCT(Table3[[#This Row],[Price of One Product]],Table3[[#This Row],[No of Products in one Sale]])</f>
        <v>750</v>
      </c>
      <c r="K4" s="6">
        <f>Table3[[#This Row],[Actual Sale]]*(1-Table3[[#This Row],[Discount]])</f>
        <v>53.682570327565401</v>
      </c>
      <c r="L4" t="str">
        <f>TEXT(Table3[[#This Row],[Sale Date]],"dddd")</f>
        <v>Wednesday</v>
      </c>
    </row>
    <row r="5" spans="1:12" x14ac:dyDescent="0.3">
      <c r="A5" t="s">
        <v>7</v>
      </c>
      <c r="B5" t="s">
        <v>54</v>
      </c>
      <c r="C5" s="1">
        <v>44737</v>
      </c>
      <c r="D5" t="s">
        <v>62</v>
      </c>
      <c r="E5" t="s">
        <v>67</v>
      </c>
      <c r="F5">
        <v>130</v>
      </c>
      <c r="G5" t="s">
        <v>0</v>
      </c>
      <c r="H5" s="2">
        <v>5</v>
      </c>
      <c r="I5" s="3">
        <v>0.20990358910221096</v>
      </c>
      <c r="J5">
        <f>PRODUCT(Table3[[#This Row],[Price of One Product]],Table3[[#This Row],[No of Products in one Sale]])</f>
        <v>650</v>
      </c>
      <c r="K5" s="6">
        <f>Table3[[#This Row],[Actual Sale]]*(1-Table3[[#This Row],[Discount]])</f>
        <v>513.56266708356293</v>
      </c>
      <c r="L5" t="str">
        <f>TEXT(Table3[[#This Row],[Sale Date]],"dddd")</f>
        <v>Saturday</v>
      </c>
    </row>
    <row r="6" spans="1:12" x14ac:dyDescent="0.3">
      <c r="A6" t="s">
        <v>8</v>
      </c>
      <c r="B6" t="s">
        <v>51</v>
      </c>
      <c r="C6" s="1">
        <v>44735</v>
      </c>
      <c r="D6" t="s">
        <v>59</v>
      </c>
      <c r="E6" t="s">
        <v>66</v>
      </c>
      <c r="F6">
        <v>72</v>
      </c>
      <c r="G6" t="s">
        <v>1</v>
      </c>
      <c r="H6" s="2">
        <v>4</v>
      </c>
      <c r="I6" s="3">
        <v>0.184343159134289</v>
      </c>
      <c r="J6">
        <f>PRODUCT(Table3[[#This Row],[Price of One Product]],Table3[[#This Row],[No of Products in one Sale]])</f>
        <v>288</v>
      </c>
      <c r="K6" s="6">
        <f>Table3[[#This Row],[Actual Sale]]*(1-Table3[[#This Row],[Discount]])</f>
        <v>234.90917016932477</v>
      </c>
      <c r="L6" t="str">
        <f>TEXT(Table3[[#This Row],[Sale Date]],"dddd")</f>
        <v>Thursday</v>
      </c>
    </row>
    <row r="7" spans="1:12" x14ac:dyDescent="0.3">
      <c r="A7" t="s">
        <v>9</v>
      </c>
      <c r="B7" t="s">
        <v>52</v>
      </c>
      <c r="C7" s="1">
        <v>44727</v>
      </c>
      <c r="D7" t="s">
        <v>60</v>
      </c>
      <c r="E7" t="s">
        <v>67</v>
      </c>
      <c r="F7">
        <v>65</v>
      </c>
      <c r="G7" t="s">
        <v>2</v>
      </c>
      <c r="H7" s="2">
        <v>8</v>
      </c>
      <c r="I7" s="3">
        <v>0.11144429073382323</v>
      </c>
      <c r="J7">
        <f>PRODUCT(Table3[[#This Row],[Price of One Product]],Table3[[#This Row],[No of Products in one Sale]])</f>
        <v>520</v>
      </c>
      <c r="K7" s="6">
        <f>Table3[[#This Row],[Actual Sale]]*(1-Table3[[#This Row],[Discount]])</f>
        <v>462.04896881841194</v>
      </c>
      <c r="L7" t="str">
        <f>TEXT(Table3[[#This Row],[Sale Date]],"dddd")</f>
        <v>Wednesday</v>
      </c>
    </row>
    <row r="8" spans="1:12" x14ac:dyDescent="0.3">
      <c r="A8" t="s">
        <v>10</v>
      </c>
      <c r="B8" t="s">
        <v>53</v>
      </c>
      <c r="C8" s="1">
        <v>44740</v>
      </c>
      <c r="D8" t="s">
        <v>61</v>
      </c>
      <c r="E8" t="s">
        <v>66</v>
      </c>
      <c r="F8">
        <v>250</v>
      </c>
      <c r="G8" t="s">
        <v>0</v>
      </c>
      <c r="H8" s="2">
        <v>3</v>
      </c>
      <c r="I8" s="3">
        <v>0.56286929186816415</v>
      </c>
      <c r="J8">
        <f>PRODUCT(Table3[[#This Row],[Price of One Product]],Table3[[#This Row],[No of Products in one Sale]])</f>
        <v>750</v>
      </c>
      <c r="K8" s="6">
        <f>Table3[[#This Row],[Actual Sale]]*(1-Table3[[#This Row],[Discount]])</f>
        <v>327.8480310988769</v>
      </c>
      <c r="L8" t="str">
        <f>TEXT(Table3[[#This Row],[Sale Date]],"dddd")</f>
        <v>Tuesday</v>
      </c>
    </row>
    <row r="9" spans="1:12" x14ac:dyDescent="0.3">
      <c r="A9" t="s">
        <v>11</v>
      </c>
      <c r="B9" t="s">
        <v>54</v>
      </c>
      <c r="C9" s="1">
        <v>44725</v>
      </c>
      <c r="D9" t="s">
        <v>62</v>
      </c>
      <c r="E9" t="s">
        <v>67</v>
      </c>
      <c r="F9">
        <v>130</v>
      </c>
      <c r="G9" t="s">
        <v>1</v>
      </c>
      <c r="H9" s="2">
        <v>6</v>
      </c>
      <c r="I9" s="3">
        <v>3.138956050307417E-2</v>
      </c>
      <c r="J9">
        <f>PRODUCT(Table3[[#This Row],[Price of One Product]],Table3[[#This Row],[No of Products in one Sale]])</f>
        <v>780</v>
      </c>
      <c r="K9" s="6">
        <f>Table3[[#This Row],[Actual Sale]]*(1-Table3[[#This Row],[Discount]])</f>
        <v>755.51614280760214</v>
      </c>
      <c r="L9" t="str">
        <f>TEXT(Table3[[#This Row],[Sale Date]],"dddd")</f>
        <v>Monday</v>
      </c>
    </row>
    <row r="10" spans="1:12" x14ac:dyDescent="0.3">
      <c r="A10" t="s">
        <v>12</v>
      </c>
      <c r="B10" t="s">
        <v>55</v>
      </c>
      <c r="C10" s="1">
        <v>44736</v>
      </c>
      <c r="D10" t="s">
        <v>63</v>
      </c>
      <c r="E10" t="s">
        <v>66</v>
      </c>
      <c r="F10">
        <v>60</v>
      </c>
      <c r="G10" t="s">
        <v>2</v>
      </c>
      <c r="H10" s="2">
        <v>7</v>
      </c>
      <c r="I10" s="3">
        <v>0.23798278495106248</v>
      </c>
      <c r="J10">
        <f>PRODUCT(Table3[[#This Row],[Price of One Product]],Table3[[#This Row],[No of Products in one Sale]])</f>
        <v>420</v>
      </c>
      <c r="K10" s="6">
        <f>Table3[[#This Row],[Actual Sale]]*(1-Table3[[#This Row],[Discount]])</f>
        <v>320.04723032055375</v>
      </c>
      <c r="L10" t="str">
        <f>TEXT(Table3[[#This Row],[Sale Date]],"dddd")</f>
        <v>Friday</v>
      </c>
    </row>
    <row r="11" spans="1:12" x14ac:dyDescent="0.3">
      <c r="A11" t="s">
        <v>13</v>
      </c>
      <c r="B11" t="s">
        <v>51</v>
      </c>
      <c r="C11" s="1">
        <v>44725</v>
      </c>
      <c r="D11" t="s">
        <v>59</v>
      </c>
      <c r="E11" t="s">
        <v>67</v>
      </c>
      <c r="F11">
        <v>72</v>
      </c>
      <c r="G11" t="s">
        <v>0</v>
      </c>
      <c r="H11" s="2">
        <v>9</v>
      </c>
      <c r="I11" s="3">
        <v>0.19712344024473996</v>
      </c>
      <c r="J11">
        <f>PRODUCT(Table3[[#This Row],[Price of One Product]],Table3[[#This Row],[No of Products in one Sale]])</f>
        <v>648</v>
      </c>
      <c r="K11" s="6">
        <f>Table3[[#This Row],[Actual Sale]]*(1-Table3[[#This Row],[Discount]])</f>
        <v>520.26401072140857</v>
      </c>
      <c r="L11" t="str">
        <f>TEXT(Table3[[#This Row],[Sale Date]],"dddd")</f>
        <v>Monday</v>
      </c>
    </row>
    <row r="12" spans="1:12" x14ac:dyDescent="0.3">
      <c r="A12" t="s">
        <v>14</v>
      </c>
      <c r="B12" t="s">
        <v>52</v>
      </c>
      <c r="C12" s="1">
        <v>44734</v>
      </c>
      <c r="D12" t="s">
        <v>60</v>
      </c>
      <c r="E12" t="s">
        <v>66</v>
      </c>
      <c r="F12">
        <v>65</v>
      </c>
      <c r="G12" t="s">
        <v>1</v>
      </c>
      <c r="H12" s="2">
        <v>4</v>
      </c>
      <c r="I12" s="3">
        <v>6.8295799738434873E-2</v>
      </c>
      <c r="J12">
        <f>PRODUCT(Table3[[#This Row],[Price of One Product]],Table3[[#This Row],[No of Products in one Sale]])</f>
        <v>260</v>
      </c>
      <c r="K12" s="6">
        <f>Table3[[#This Row],[Actual Sale]]*(1-Table3[[#This Row],[Discount]])</f>
        <v>242.24309206800692</v>
      </c>
      <c r="L12" t="str">
        <f>TEXT(Table3[[#This Row],[Sale Date]],"dddd")</f>
        <v>Wednesday</v>
      </c>
    </row>
    <row r="13" spans="1:12" x14ac:dyDescent="0.3">
      <c r="A13" t="s">
        <v>15</v>
      </c>
      <c r="B13" t="s">
        <v>53</v>
      </c>
      <c r="C13" s="1">
        <v>44731</v>
      </c>
      <c r="D13" t="s">
        <v>61</v>
      </c>
      <c r="E13" t="s">
        <v>67</v>
      </c>
      <c r="F13">
        <v>250</v>
      </c>
      <c r="G13" t="s">
        <v>2</v>
      </c>
      <c r="H13" s="2">
        <v>3</v>
      </c>
      <c r="I13" s="3">
        <v>1.6828522965904168E-2</v>
      </c>
      <c r="J13">
        <f>PRODUCT(Table3[[#This Row],[Price of One Product]],Table3[[#This Row],[No of Products in one Sale]])</f>
        <v>750</v>
      </c>
      <c r="K13" s="6">
        <f>Table3[[#This Row],[Actual Sale]]*(1-Table3[[#This Row],[Discount]])</f>
        <v>737.37860777557182</v>
      </c>
      <c r="L13" t="str">
        <f>TEXT(Table3[[#This Row],[Sale Date]],"dddd")</f>
        <v>Sunday</v>
      </c>
    </row>
    <row r="14" spans="1:12" x14ac:dyDescent="0.3">
      <c r="A14" t="s">
        <v>16</v>
      </c>
      <c r="B14" t="s">
        <v>54</v>
      </c>
      <c r="C14" s="1">
        <v>44730</v>
      </c>
      <c r="D14" t="s">
        <v>62</v>
      </c>
      <c r="E14" t="s">
        <v>66</v>
      </c>
      <c r="F14">
        <v>130</v>
      </c>
      <c r="G14" t="s">
        <v>0</v>
      </c>
      <c r="H14" s="2">
        <v>5</v>
      </c>
      <c r="I14" s="3">
        <v>0.26661284065553453</v>
      </c>
      <c r="J14">
        <f>PRODUCT(Table3[[#This Row],[Price of One Product]],Table3[[#This Row],[No of Products in one Sale]])</f>
        <v>650</v>
      </c>
      <c r="K14" s="6">
        <f>Table3[[#This Row],[Actual Sale]]*(1-Table3[[#This Row],[Discount]])</f>
        <v>476.70165357390249</v>
      </c>
      <c r="L14" t="str">
        <f>TEXT(Table3[[#This Row],[Sale Date]],"dddd")</f>
        <v>Saturday</v>
      </c>
    </row>
    <row r="15" spans="1:12" x14ac:dyDescent="0.3">
      <c r="A15" t="s">
        <v>17</v>
      </c>
      <c r="B15" t="s">
        <v>51</v>
      </c>
      <c r="C15" s="1">
        <v>44735</v>
      </c>
      <c r="D15" t="s">
        <v>59</v>
      </c>
      <c r="E15" t="s">
        <v>67</v>
      </c>
      <c r="F15">
        <v>72</v>
      </c>
      <c r="G15" t="s">
        <v>1</v>
      </c>
      <c r="H15" s="2">
        <v>12</v>
      </c>
      <c r="I15" s="3">
        <v>0.21251347110701568</v>
      </c>
      <c r="J15">
        <f>PRODUCT(Table3[[#This Row],[Price of One Product]],Table3[[#This Row],[No of Products in one Sale]])</f>
        <v>864</v>
      </c>
      <c r="K15" s="6">
        <f>Table3[[#This Row],[Actual Sale]]*(1-Table3[[#This Row],[Discount]])</f>
        <v>680.3883609635385</v>
      </c>
      <c r="L15" t="str">
        <f>TEXT(Table3[[#This Row],[Sale Date]],"dddd")</f>
        <v>Thursday</v>
      </c>
    </row>
    <row r="16" spans="1:12" x14ac:dyDescent="0.3">
      <c r="A16" t="s">
        <v>18</v>
      </c>
      <c r="B16" t="s">
        <v>52</v>
      </c>
      <c r="C16" s="1">
        <v>44738</v>
      </c>
      <c r="D16" t="s">
        <v>60</v>
      </c>
      <c r="E16" t="s">
        <v>66</v>
      </c>
      <c r="F16">
        <v>65</v>
      </c>
      <c r="G16" t="s">
        <v>2</v>
      </c>
      <c r="H16" s="2">
        <v>4</v>
      </c>
      <c r="I16" s="3">
        <v>0.10994257661413849</v>
      </c>
      <c r="J16">
        <f>PRODUCT(Table3[[#This Row],[Price of One Product]],Table3[[#This Row],[No of Products in one Sale]])</f>
        <v>260</v>
      </c>
      <c r="K16" s="6">
        <f>Table3[[#This Row],[Actual Sale]]*(1-Table3[[#This Row],[Discount]])</f>
        <v>231.41493008032398</v>
      </c>
      <c r="L16" t="str">
        <f>TEXT(Table3[[#This Row],[Sale Date]],"dddd")</f>
        <v>Sunday</v>
      </c>
    </row>
    <row r="17" spans="1:12" x14ac:dyDescent="0.3">
      <c r="A17" t="s">
        <v>19</v>
      </c>
      <c r="B17" t="s">
        <v>53</v>
      </c>
      <c r="C17" s="1">
        <v>44738</v>
      </c>
      <c r="D17" t="s">
        <v>61</v>
      </c>
      <c r="E17" t="s">
        <v>67</v>
      </c>
      <c r="F17">
        <v>250</v>
      </c>
      <c r="G17" t="s">
        <v>0</v>
      </c>
      <c r="H17" s="2">
        <v>3</v>
      </c>
      <c r="I17" s="3">
        <v>0.53607498908607099</v>
      </c>
      <c r="J17">
        <f>PRODUCT(Table3[[#This Row],[Price of One Product]],Table3[[#This Row],[No of Products in one Sale]])</f>
        <v>750</v>
      </c>
      <c r="K17" s="6">
        <f>Table3[[#This Row],[Actual Sale]]*(1-Table3[[#This Row],[Discount]])</f>
        <v>347.94375818544677</v>
      </c>
      <c r="L17" t="str">
        <f>TEXT(Table3[[#This Row],[Sale Date]],"dddd")</f>
        <v>Sunday</v>
      </c>
    </row>
    <row r="18" spans="1:12" x14ac:dyDescent="0.3">
      <c r="A18" t="s">
        <v>20</v>
      </c>
      <c r="B18" t="s">
        <v>54</v>
      </c>
      <c r="C18" s="1">
        <v>44725</v>
      </c>
      <c r="D18" t="s">
        <v>62</v>
      </c>
      <c r="E18" t="s">
        <v>66</v>
      </c>
      <c r="F18">
        <v>130</v>
      </c>
      <c r="G18" t="s">
        <v>1</v>
      </c>
      <c r="H18" s="2">
        <v>5</v>
      </c>
      <c r="I18" s="3">
        <v>3.7515550327758003E-2</v>
      </c>
      <c r="J18">
        <f>PRODUCT(Table3[[#This Row],[Price of One Product]],Table3[[#This Row],[No of Products in one Sale]])</f>
        <v>650</v>
      </c>
      <c r="K18" s="6">
        <f>Table3[[#This Row],[Actual Sale]]*(1-Table3[[#This Row],[Discount]])</f>
        <v>625.61489228695734</v>
      </c>
      <c r="L18" t="str">
        <f>TEXT(Table3[[#This Row],[Sale Date]],"dddd")</f>
        <v>Monday</v>
      </c>
    </row>
    <row r="19" spans="1:12" x14ac:dyDescent="0.3">
      <c r="A19" t="s">
        <v>21</v>
      </c>
      <c r="B19" t="s">
        <v>55</v>
      </c>
      <c r="C19" s="1">
        <v>44730</v>
      </c>
      <c r="D19" t="s">
        <v>63</v>
      </c>
      <c r="E19" t="s">
        <v>66</v>
      </c>
      <c r="F19">
        <v>60</v>
      </c>
      <c r="G19" t="s">
        <v>2</v>
      </c>
      <c r="H19" s="2">
        <v>13</v>
      </c>
      <c r="I19" s="3">
        <v>2.4938289886663061E-2</v>
      </c>
      <c r="J19">
        <f>PRODUCT(Table3[[#This Row],[Price of One Product]],Table3[[#This Row],[No of Products in one Sale]])</f>
        <v>780</v>
      </c>
      <c r="K19" s="6">
        <f>Table3[[#This Row],[Actual Sale]]*(1-Table3[[#This Row],[Discount]])</f>
        <v>760.54813388840284</v>
      </c>
      <c r="L19" t="str">
        <f>TEXT(Table3[[#This Row],[Sale Date]],"dddd")</f>
        <v>Saturday</v>
      </c>
    </row>
    <row r="20" spans="1:12" x14ac:dyDescent="0.3">
      <c r="A20" t="s">
        <v>22</v>
      </c>
      <c r="B20" t="s">
        <v>56</v>
      </c>
      <c r="C20" s="1">
        <v>44738</v>
      </c>
      <c r="D20" t="s">
        <v>64</v>
      </c>
      <c r="E20" t="s">
        <v>67</v>
      </c>
      <c r="F20">
        <v>95</v>
      </c>
      <c r="G20" t="s">
        <v>0</v>
      </c>
      <c r="H20" s="2">
        <v>5</v>
      </c>
      <c r="I20" s="3">
        <v>1.0123391970414241E-2</v>
      </c>
      <c r="J20">
        <f>PRODUCT(Table3[[#This Row],[Price of One Product]],Table3[[#This Row],[No of Products in one Sale]])</f>
        <v>475</v>
      </c>
      <c r="K20" s="6">
        <f>Table3[[#This Row],[Actual Sale]]*(1-Table3[[#This Row],[Discount]])</f>
        <v>470.19138881405325</v>
      </c>
      <c r="L20" t="str">
        <f>TEXT(Table3[[#This Row],[Sale Date]],"dddd")</f>
        <v>Sunday</v>
      </c>
    </row>
    <row r="21" spans="1:12" x14ac:dyDescent="0.3">
      <c r="A21" t="s">
        <v>23</v>
      </c>
      <c r="B21" t="s">
        <v>51</v>
      </c>
      <c r="C21" s="1">
        <v>44730</v>
      </c>
      <c r="D21" t="s">
        <v>59</v>
      </c>
      <c r="E21" t="s">
        <v>67</v>
      </c>
      <c r="F21">
        <v>72</v>
      </c>
      <c r="G21" t="s">
        <v>1</v>
      </c>
      <c r="H21" s="2">
        <v>5</v>
      </c>
      <c r="I21" s="3">
        <v>0.1308869366379137</v>
      </c>
      <c r="J21">
        <f>PRODUCT(Table3[[#This Row],[Price of One Product]],Table3[[#This Row],[No of Products in one Sale]])</f>
        <v>360</v>
      </c>
      <c r="K21" s="6">
        <f>Table3[[#This Row],[Actual Sale]]*(1-Table3[[#This Row],[Discount]])</f>
        <v>312.88070281035107</v>
      </c>
      <c r="L21" t="str">
        <f>TEXT(Table3[[#This Row],[Sale Date]],"dddd")</f>
        <v>Saturday</v>
      </c>
    </row>
    <row r="22" spans="1:12" x14ac:dyDescent="0.3">
      <c r="A22" t="s">
        <v>24</v>
      </c>
      <c r="B22" t="s">
        <v>52</v>
      </c>
      <c r="C22" s="1">
        <v>44738</v>
      </c>
      <c r="D22" t="s">
        <v>60</v>
      </c>
      <c r="E22" t="s">
        <v>67</v>
      </c>
      <c r="F22">
        <v>65</v>
      </c>
      <c r="G22" t="s">
        <v>2</v>
      </c>
      <c r="H22" s="2">
        <v>4</v>
      </c>
      <c r="I22" s="3">
        <v>6.6961969492996459E-2</v>
      </c>
      <c r="J22">
        <f>PRODUCT(Table3[[#This Row],[Price of One Product]],Table3[[#This Row],[No of Products in one Sale]])</f>
        <v>260</v>
      </c>
      <c r="K22" s="6">
        <f>Table3[[#This Row],[Actual Sale]]*(1-Table3[[#This Row],[Discount]])</f>
        <v>242.58988793182093</v>
      </c>
      <c r="L22" t="str">
        <f>TEXT(Table3[[#This Row],[Sale Date]],"dddd")</f>
        <v>Sunday</v>
      </c>
    </row>
    <row r="23" spans="1:12" x14ac:dyDescent="0.3">
      <c r="A23" t="s">
        <v>25</v>
      </c>
      <c r="B23" t="s">
        <v>53</v>
      </c>
      <c r="C23" s="1">
        <v>44734</v>
      </c>
      <c r="D23" t="s">
        <v>61</v>
      </c>
      <c r="E23" t="s">
        <v>66</v>
      </c>
      <c r="F23">
        <v>250</v>
      </c>
      <c r="G23" t="s">
        <v>0</v>
      </c>
      <c r="H23" s="2">
        <v>3</v>
      </c>
      <c r="I23" s="3">
        <v>0.36350761794645753</v>
      </c>
      <c r="J23">
        <f>PRODUCT(Table3[[#This Row],[Price of One Product]],Table3[[#This Row],[No of Products in one Sale]])</f>
        <v>750</v>
      </c>
      <c r="K23" s="6">
        <f>Table3[[#This Row],[Actual Sale]]*(1-Table3[[#This Row],[Discount]])</f>
        <v>477.36928654015679</v>
      </c>
      <c r="L23" t="str">
        <f>TEXT(Table3[[#This Row],[Sale Date]],"dddd")</f>
        <v>Wednesday</v>
      </c>
    </row>
    <row r="24" spans="1:12" x14ac:dyDescent="0.3">
      <c r="A24" t="s">
        <v>26</v>
      </c>
      <c r="B24" t="s">
        <v>54</v>
      </c>
      <c r="C24" s="1">
        <v>44729</v>
      </c>
      <c r="D24" t="s">
        <v>62</v>
      </c>
      <c r="E24" t="s">
        <v>66</v>
      </c>
      <c r="F24">
        <v>130</v>
      </c>
      <c r="G24" t="s">
        <v>1</v>
      </c>
      <c r="H24" s="2">
        <v>6</v>
      </c>
      <c r="I24" s="3">
        <v>0.30841415491993102</v>
      </c>
      <c r="J24">
        <f>PRODUCT(Table3[[#This Row],[Price of One Product]],Table3[[#This Row],[No of Products in one Sale]])</f>
        <v>780</v>
      </c>
      <c r="K24" s="6">
        <f>Table3[[#This Row],[Actual Sale]]*(1-Table3[[#This Row],[Discount]])</f>
        <v>539.43695916245372</v>
      </c>
      <c r="L24" t="str">
        <f>TEXT(Table3[[#This Row],[Sale Date]],"dddd")</f>
        <v>Friday</v>
      </c>
    </row>
    <row r="25" spans="1:12" x14ac:dyDescent="0.3">
      <c r="A25" t="s">
        <v>27</v>
      </c>
      <c r="B25" t="s">
        <v>51</v>
      </c>
      <c r="C25" s="1">
        <v>44730</v>
      </c>
      <c r="D25" t="s">
        <v>59</v>
      </c>
      <c r="E25" t="s">
        <v>66</v>
      </c>
      <c r="F25">
        <v>72</v>
      </c>
      <c r="G25" t="s">
        <v>2</v>
      </c>
      <c r="H25" s="2">
        <v>8</v>
      </c>
      <c r="I25" s="3">
        <v>0.21287301321989574</v>
      </c>
      <c r="J25">
        <f>PRODUCT(Table3[[#This Row],[Price of One Product]],Table3[[#This Row],[No of Products in one Sale]])</f>
        <v>576</v>
      </c>
      <c r="K25" s="6">
        <f>Table3[[#This Row],[Actual Sale]]*(1-Table3[[#This Row],[Discount]])</f>
        <v>453.38514438534008</v>
      </c>
      <c r="L25" t="str">
        <f>TEXT(Table3[[#This Row],[Sale Date]],"dddd")</f>
        <v>Saturday</v>
      </c>
    </row>
    <row r="26" spans="1:12" x14ac:dyDescent="0.3">
      <c r="A26" t="s">
        <v>28</v>
      </c>
      <c r="B26" t="s">
        <v>52</v>
      </c>
      <c r="C26" s="1">
        <v>44728</v>
      </c>
      <c r="D26" t="s">
        <v>60</v>
      </c>
      <c r="E26" t="s">
        <v>66</v>
      </c>
      <c r="F26">
        <v>65</v>
      </c>
      <c r="G26" t="s">
        <v>0</v>
      </c>
      <c r="H26" s="2">
        <v>5</v>
      </c>
      <c r="I26" s="3">
        <v>0.11047742601795077</v>
      </c>
      <c r="J26">
        <f>PRODUCT(Table3[[#This Row],[Price of One Product]],Table3[[#This Row],[No of Products in one Sale]])</f>
        <v>325</v>
      </c>
      <c r="K26" s="6">
        <f>Table3[[#This Row],[Actual Sale]]*(1-Table3[[#This Row],[Discount]])</f>
        <v>289.09483654416601</v>
      </c>
      <c r="L26" t="str">
        <f>TEXT(Table3[[#This Row],[Sale Date]],"dddd")</f>
        <v>Thursday</v>
      </c>
    </row>
    <row r="27" spans="1:12" x14ac:dyDescent="0.3">
      <c r="A27" t="s">
        <v>29</v>
      </c>
      <c r="B27" t="s">
        <v>53</v>
      </c>
      <c r="C27" s="1">
        <v>44735</v>
      </c>
      <c r="D27" t="s">
        <v>61</v>
      </c>
      <c r="E27" t="s">
        <v>66</v>
      </c>
      <c r="F27">
        <v>250</v>
      </c>
      <c r="G27" t="s">
        <v>1</v>
      </c>
      <c r="H27" s="2">
        <v>2</v>
      </c>
      <c r="I27" s="3">
        <v>4.8799156151631218E-2</v>
      </c>
      <c r="J27">
        <f>PRODUCT(Table3[[#This Row],[Price of One Product]],Table3[[#This Row],[No of Products in one Sale]])</f>
        <v>500</v>
      </c>
      <c r="K27" s="6">
        <f>Table3[[#This Row],[Actual Sale]]*(1-Table3[[#This Row],[Discount]])</f>
        <v>475.60042192418439</v>
      </c>
      <c r="L27" t="str">
        <f>TEXT(Table3[[#This Row],[Sale Date]],"dddd")</f>
        <v>Thursday</v>
      </c>
    </row>
    <row r="28" spans="1:12" x14ac:dyDescent="0.3">
      <c r="A28" t="s">
        <v>35</v>
      </c>
      <c r="B28" t="s">
        <v>54</v>
      </c>
      <c r="C28" s="1">
        <v>44738</v>
      </c>
      <c r="D28" t="s">
        <v>62</v>
      </c>
      <c r="E28" t="s">
        <v>66</v>
      </c>
      <c r="F28">
        <v>130</v>
      </c>
      <c r="G28" t="s">
        <v>2</v>
      </c>
      <c r="H28" s="2">
        <v>3</v>
      </c>
      <c r="I28" s="3">
        <v>0.27879506176921365</v>
      </c>
      <c r="J28">
        <f>PRODUCT(Table3[[#This Row],[Price of One Product]],Table3[[#This Row],[No of Products in one Sale]])</f>
        <v>390</v>
      </c>
      <c r="K28" s="6">
        <f>Table3[[#This Row],[Actual Sale]]*(1-Table3[[#This Row],[Discount]])</f>
        <v>281.26992591000669</v>
      </c>
      <c r="L28" t="str">
        <f>TEXT(Table3[[#This Row],[Sale Date]],"dddd")</f>
        <v>Sunday</v>
      </c>
    </row>
    <row r="29" spans="1:12" x14ac:dyDescent="0.3">
      <c r="A29" t="s">
        <v>30</v>
      </c>
      <c r="B29" t="s">
        <v>55</v>
      </c>
      <c r="C29" s="1">
        <v>44738</v>
      </c>
      <c r="D29" t="s">
        <v>63</v>
      </c>
      <c r="E29" t="s">
        <v>66</v>
      </c>
      <c r="F29">
        <v>60</v>
      </c>
      <c r="G29" t="s">
        <v>0</v>
      </c>
      <c r="H29" s="2">
        <v>14</v>
      </c>
      <c r="I29" s="3">
        <v>7.6045534046593019E-2</v>
      </c>
      <c r="J29">
        <f>PRODUCT(Table3[[#This Row],[Price of One Product]],Table3[[#This Row],[No of Products in one Sale]])</f>
        <v>840</v>
      </c>
      <c r="K29" s="6">
        <f>Table3[[#This Row],[Actual Sale]]*(1-Table3[[#This Row],[Discount]])</f>
        <v>776.12175140086185</v>
      </c>
      <c r="L29" t="str">
        <f>TEXT(Table3[[#This Row],[Sale Date]],"dddd")</f>
        <v>Sunday</v>
      </c>
    </row>
    <row r="30" spans="1:12" x14ac:dyDescent="0.3">
      <c r="A30" t="s">
        <v>31</v>
      </c>
      <c r="B30" t="s">
        <v>51</v>
      </c>
      <c r="C30" s="1">
        <v>44734</v>
      </c>
      <c r="D30" t="s">
        <v>59</v>
      </c>
      <c r="E30" t="s">
        <v>66</v>
      </c>
      <c r="F30">
        <v>72</v>
      </c>
      <c r="G30" t="s">
        <v>1</v>
      </c>
      <c r="H30" s="2">
        <v>12</v>
      </c>
      <c r="I30" s="3">
        <v>0.12055762754740325</v>
      </c>
      <c r="J30">
        <f>PRODUCT(Table3[[#This Row],[Price of One Product]],Table3[[#This Row],[No of Products in one Sale]])</f>
        <v>864</v>
      </c>
      <c r="K30" s="6">
        <f>Table3[[#This Row],[Actual Sale]]*(1-Table3[[#This Row],[Discount]])</f>
        <v>759.83820979904351</v>
      </c>
      <c r="L30" t="str">
        <f>TEXT(Table3[[#This Row],[Sale Date]],"dddd")</f>
        <v>Wednesday</v>
      </c>
    </row>
    <row r="31" spans="1:12" x14ac:dyDescent="0.3">
      <c r="A31" t="s">
        <v>32</v>
      </c>
      <c r="B31" t="s">
        <v>52</v>
      </c>
      <c r="C31" s="1">
        <v>44727</v>
      </c>
      <c r="D31" t="s">
        <v>60</v>
      </c>
      <c r="E31" t="s">
        <v>66</v>
      </c>
      <c r="F31">
        <v>65</v>
      </c>
      <c r="G31" t="s">
        <v>2</v>
      </c>
      <c r="H31" s="2">
        <v>5</v>
      </c>
      <c r="I31" s="3">
        <v>0.30283946337780637</v>
      </c>
      <c r="J31">
        <f>PRODUCT(Table3[[#This Row],[Price of One Product]],Table3[[#This Row],[No of Products in one Sale]])</f>
        <v>325</v>
      </c>
      <c r="K31" s="6">
        <f>Table3[[#This Row],[Actual Sale]]*(1-Table3[[#This Row],[Discount]])</f>
        <v>226.5771744022129</v>
      </c>
      <c r="L31" t="str">
        <f>TEXT(Table3[[#This Row],[Sale Date]],"dddd")</f>
        <v>Wednesday</v>
      </c>
    </row>
    <row r="32" spans="1:12" x14ac:dyDescent="0.3">
      <c r="A32" t="s">
        <v>33</v>
      </c>
      <c r="B32" t="s">
        <v>53</v>
      </c>
      <c r="C32" s="1">
        <v>44729</v>
      </c>
      <c r="D32" t="s">
        <v>61</v>
      </c>
      <c r="E32" t="s">
        <v>67</v>
      </c>
      <c r="F32">
        <v>250</v>
      </c>
      <c r="G32" t="s">
        <v>0</v>
      </c>
      <c r="H32" s="2">
        <v>1</v>
      </c>
      <c r="I32" s="3">
        <v>0.41401829873258272</v>
      </c>
      <c r="J32">
        <f>PRODUCT(Table3[[#This Row],[Price of One Product]],Table3[[#This Row],[No of Products in one Sale]])</f>
        <v>250</v>
      </c>
      <c r="K32" s="6">
        <f>Table3[[#This Row],[Actual Sale]]*(1-Table3[[#This Row],[Discount]])</f>
        <v>146.49542531685432</v>
      </c>
      <c r="L32" t="str">
        <f>TEXT(Table3[[#This Row],[Sale Date]],"dddd")</f>
        <v>Friday</v>
      </c>
    </row>
    <row r="33" spans="1:12" x14ac:dyDescent="0.3">
      <c r="A33" t="s">
        <v>34</v>
      </c>
      <c r="B33" t="s">
        <v>54</v>
      </c>
      <c r="C33" s="1">
        <v>44726</v>
      </c>
      <c r="D33" t="s">
        <v>62</v>
      </c>
      <c r="E33" t="s">
        <v>66</v>
      </c>
      <c r="F33">
        <v>130</v>
      </c>
      <c r="G33" t="s">
        <v>1</v>
      </c>
      <c r="H33" s="2">
        <v>4</v>
      </c>
      <c r="I33" s="3">
        <v>6.1603660271292333E-3</v>
      </c>
      <c r="J33">
        <f>PRODUCT(Table3[[#This Row],[Price of One Product]],Table3[[#This Row],[No of Products in one Sale]])</f>
        <v>520</v>
      </c>
      <c r="K33" s="6">
        <f>Table3[[#This Row],[Actual Sale]]*(1-Table3[[#This Row],[Discount]])</f>
        <v>516.79660966589279</v>
      </c>
      <c r="L33" t="str">
        <f>TEXT(Table3[[#This Row],[Sale Date]],"dddd")</f>
        <v>Tuesday</v>
      </c>
    </row>
    <row r="34" spans="1:12" x14ac:dyDescent="0.3">
      <c r="A34" t="s">
        <v>36</v>
      </c>
      <c r="B34" t="s">
        <v>51</v>
      </c>
      <c r="C34" s="1">
        <v>44733</v>
      </c>
      <c r="D34" t="s">
        <v>59</v>
      </c>
      <c r="E34" t="s">
        <v>66</v>
      </c>
      <c r="F34">
        <v>72</v>
      </c>
      <c r="G34" t="s">
        <v>2</v>
      </c>
      <c r="H34" s="2">
        <v>8</v>
      </c>
      <c r="I34" s="3">
        <v>0.10495963672233184</v>
      </c>
      <c r="J34">
        <f>PRODUCT(Table3[[#This Row],[Price of One Product]],Table3[[#This Row],[No of Products in one Sale]])</f>
        <v>576</v>
      </c>
      <c r="K34" s="6">
        <f>Table3[[#This Row],[Actual Sale]]*(1-Table3[[#This Row],[Discount]])</f>
        <v>515.54324924793684</v>
      </c>
      <c r="L34" t="str">
        <f>TEXT(Table3[[#This Row],[Sale Date]],"dddd")</f>
        <v>Tuesday</v>
      </c>
    </row>
    <row r="35" spans="1:12" x14ac:dyDescent="0.3">
      <c r="A35" t="s">
        <v>37</v>
      </c>
      <c r="B35" t="s">
        <v>52</v>
      </c>
      <c r="C35" s="1">
        <v>44730</v>
      </c>
      <c r="D35" t="s">
        <v>60</v>
      </c>
      <c r="E35" t="s">
        <v>66</v>
      </c>
      <c r="F35">
        <v>65</v>
      </c>
      <c r="G35" t="s">
        <v>0</v>
      </c>
      <c r="H35" s="2">
        <v>12</v>
      </c>
      <c r="I35" s="3">
        <v>0.29377273906475571</v>
      </c>
      <c r="J35">
        <f>PRODUCT(Table3[[#This Row],[Price of One Product]],Table3[[#This Row],[No of Products in one Sale]])</f>
        <v>780</v>
      </c>
      <c r="K35" s="6">
        <f>Table3[[#This Row],[Actual Sale]]*(1-Table3[[#This Row],[Discount]])</f>
        <v>550.85726352949052</v>
      </c>
      <c r="L35" t="str">
        <f>TEXT(Table3[[#This Row],[Sale Date]],"dddd")</f>
        <v>Saturday</v>
      </c>
    </row>
    <row r="36" spans="1:12" x14ac:dyDescent="0.3">
      <c r="A36" t="s">
        <v>38</v>
      </c>
      <c r="B36" t="s">
        <v>53</v>
      </c>
      <c r="C36" s="1">
        <v>44736</v>
      </c>
      <c r="D36" t="s">
        <v>61</v>
      </c>
      <c r="E36" t="s">
        <v>66</v>
      </c>
      <c r="F36">
        <v>250</v>
      </c>
      <c r="G36" t="s">
        <v>1</v>
      </c>
      <c r="H36" s="2">
        <v>3</v>
      </c>
      <c r="I36" s="3">
        <v>0.56559810101924179</v>
      </c>
      <c r="J36">
        <f>PRODUCT(Table3[[#This Row],[Price of One Product]],Table3[[#This Row],[No of Products in one Sale]])</f>
        <v>750</v>
      </c>
      <c r="K36" s="6">
        <f>Table3[[#This Row],[Actual Sale]]*(1-Table3[[#This Row],[Discount]])</f>
        <v>325.80142423556867</v>
      </c>
      <c r="L36" t="str">
        <f>TEXT(Table3[[#This Row],[Sale Date]],"dddd")</f>
        <v>Friday</v>
      </c>
    </row>
    <row r="37" spans="1:12" x14ac:dyDescent="0.3">
      <c r="A37" t="s">
        <v>39</v>
      </c>
      <c r="B37" t="s">
        <v>54</v>
      </c>
      <c r="C37" s="1">
        <v>44732</v>
      </c>
      <c r="D37" t="s">
        <v>62</v>
      </c>
      <c r="E37" t="s">
        <v>66</v>
      </c>
      <c r="F37">
        <v>130</v>
      </c>
      <c r="G37" t="s">
        <v>2</v>
      </c>
      <c r="H37" s="2">
        <v>3</v>
      </c>
      <c r="I37" s="3">
        <v>0.14180367825735268</v>
      </c>
      <c r="J37">
        <f>PRODUCT(Table3[[#This Row],[Price of One Product]],Table3[[#This Row],[No of Products in one Sale]])</f>
        <v>390</v>
      </c>
      <c r="K37" s="6">
        <f>Table3[[#This Row],[Actual Sale]]*(1-Table3[[#This Row],[Discount]])</f>
        <v>334.69656547963245</v>
      </c>
      <c r="L37" t="str">
        <f>TEXT(Table3[[#This Row],[Sale Date]],"dddd")</f>
        <v>Monday</v>
      </c>
    </row>
    <row r="38" spans="1:12" x14ac:dyDescent="0.3">
      <c r="A38" t="s">
        <v>40</v>
      </c>
      <c r="B38" t="s">
        <v>55</v>
      </c>
      <c r="C38" s="1">
        <v>44732</v>
      </c>
      <c r="D38" t="s">
        <v>63</v>
      </c>
      <c r="E38" t="s">
        <v>67</v>
      </c>
      <c r="F38">
        <v>60</v>
      </c>
      <c r="G38" t="s">
        <v>0</v>
      </c>
      <c r="H38" s="2">
        <v>11</v>
      </c>
      <c r="I38" s="3">
        <v>0.19727585407121537</v>
      </c>
      <c r="J38">
        <f>PRODUCT(Table3[[#This Row],[Price of One Product]],Table3[[#This Row],[No of Products in one Sale]])</f>
        <v>660</v>
      </c>
      <c r="K38" s="6">
        <f>Table3[[#This Row],[Actual Sale]]*(1-Table3[[#This Row],[Discount]])</f>
        <v>529.79793631299788</v>
      </c>
      <c r="L38" t="str">
        <f>TEXT(Table3[[#This Row],[Sale Date]],"dddd")</f>
        <v>Monday</v>
      </c>
    </row>
    <row r="39" spans="1:12" x14ac:dyDescent="0.3">
      <c r="A39" t="s">
        <v>41</v>
      </c>
      <c r="B39" t="s">
        <v>56</v>
      </c>
      <c r="C39" s="1">
        <v>44731</v>
      </c>
      <c r="D39" t="s">
        <v>64</v>
      </c>
      <c r="E39" t="s">
        <v>66</v>
      </c>
      <c r="F39">
        <v>95</v>
      </c>
      <c r="G39" t="s">
        <v>1</v>
      </c>
      <c r="H39" s="2">
        <v>8</v>
      </c>
      <c r="I39" s="3">
        <v>0.16026707373910823</v>
      </c>
      <c r="J39">
        <f>PRODUCT(Table3[[#This Row],[Price of One Product]],Table3[[#This Row],[No of Products in one Sale]])</f>
        <v>760</v>
      </c>
      <c r="K39" s="6">
        <f>Table3[[#This Row],[Actual Sale]]*(1-Table3[[#This Row],[Discount]])</f>
        <v>638.19702395827778</v>
      </c>
      <c r="L39" t="str">
        <f>TEXT(Table3[[#This Row],[Sale Date]],"dddd")</f>
        <v>Sunday</v>
      </c>
    </row>
    <row r="40" spans="1:12" x14ac:dyDescent="0.3">
      <c r="A40" t="s">
        <v>42</v>
      </c>
      <c r="B40" t="s">
        <v>51</v>
      </c>
      <c r="C40" s="1">
        <v>44735</v>
      </c>
      <c r="D40" t="s">
        <v>59</v>
      </c>
      <c r="E40" t="s">
        <v>66</v>
      </c>
      <c r="F40">
        <v>72</v>
      </c>
      <c r="G40" t="s">
        <v>2</v>
      </c>
      <c r="H40" s="2">
        <v>5</v>
      </c>
      <c r="I40" s="3">
        <v>3.6754234817017679E-2</v>
      </c>
      <c r="J40">
        <f>PRODUCT(Table3[[#This Row],[Price of One Product]],Table3[[#This Row],[No of Products in one Sale]])</f>
        <v>360</v>
      </c>
      <c r="K40" s="6">
        <f>Table3[[#This Row],[Actual Sale]]*(1-Table3[[#This Row],[Discount]])</f>
        <v>346.76847546587362</v>
      </c>
      <c r="L40" t="str">
        <f>TEXT(Table3[[#This Row],[Sale Date]],"dddd")</f>
        <v>Thursday</v>
      </c>
    </row>
    <row r="41" spans="1:12" x14ac:dyDescent="0.3">
      <c r="A41" t="s">
        <v>43</v>
      </c>
      <c r="B41" t="s">
        <v>52</v>
      </c>
      <c r="C41" s="1">
        <v>44728</v>
      </c>
      <c r="D41" t="s">
        <v>60</v>
      </c>
      <c r="E41" t="s">
        <v>66</v>
      </c>
      <c r="F41">
        <v>65</v>
      </c>
      <c r="G41" t="s">
        <v>0</v>
      </c>
      <c r="H41" s="2">
        <v>6</v>
      </c>
      <c r="I41" s="3">
        <v>0.12047427034169578</v>
      </c>
      <c r="J41">
        <f>PRODUCT(Table3[[#This Row],[Price of One Product]],Table3[[#This Row],[No of Products in one Sale]])</f>
        <v>390</v>
      </c>
      <c r="K41" s="6">
        <f>Table3[[#This Row],[Actual Sale]]*(1-Table3[[#This Row],[Discount]])</f>
        <v>343.01503456673862</v>
      </c>
      <c r="L41" t="str">
        <f>TEXT(Table3[[#This Row],[Sale Date]],"dddd")</f>
        <v>Thursday</v>
      </c>
    </row>
    <row r="42" spans="1:12" x14ac:dyDescent="0.3">
      <c r="A42" t="s">
        <v>44</v>
      </c>
      <c r="B42" t="s">
        <v>53</v>
      </c>
      <c r="C42" s="1">
        <v>44727</v>
      </c>
      <c r="D42" t="s">
        <v>61</v>
      </c>
      <c r="E42" t="s">
        <v>67</v>
      </c>
      <c r="F42">
        <v>250</v>
      </c>
      <c r="G42" t="s">
        <v>1</v>
      </c>
      <c r="H42" s="2">
        <v>1</v>
      </c>
      <c r="I42" s="3">
        <v>0.38636401364592987</v>
      </c>
      <c r="J42">
        <f>PRODUCT(Table3[[#This Row],[Price of One Product]],Table3[[#This Row],[No of Products in one Sale]])</f>
        <v>250</v>
      </c>
      <c r="K42" s="6">
        <f>Table3[[#This Row],[Actual Sale]]*(1-Table3[[#This Row],[Discount]])</f>
        <v>153.40899658851754</v>
      </c>
      <c r="L42" t="str">
        <f>TEXT(Table3[[#This Row],[Sale Date]],"dddd")</f>
        <v>Wednesday</v>
      </c>
    </row>
    <row r="43" spans="1:12" x14ac:dyDescent="0.3">
      <c r="A43" t="s">
        <v>45</v>
      </c>
      <c r="B43" t="s">
        <v>54</v>
      </c>
      <c r="C43" s="1">
        <v>44731</v>
      </c>
      <c r="D43" t="s">
        <v>62</v>
      </c>
      <c r="E43" t="s">
        <v>67</v>
      </c>
      <c r="F43">
        <v>130</v>
      </c>
      <c r="G43" t="s">
        <v>2</v>
      </c>
      <c r="H43" s="2">
        <v>7</v>
      </c>
      <c r="I43" s="3">
        <v>0.25111930985495906</v>
      </c>
      <c r="J43">
        <f>PRODUCT(Table3[[#This Row],[Price of One Product]],Table3[[#This Row],[No of Products in one Sale]])</f>
        <v>910</v>
      </c>
      <c r="K43" s="6">
        <f>Table3[[#This Row],[Actual Sale]]*(1-Table3[[#This Row],[Discount]])</f>
        <v>681.48142803198721</v>
      </c>
      <c r="L43" t="str">
        <f>TEXT(Table3[[#This Row],[Sale Date]],"dddd")</f>
        <v>Sunday</v>
      </c>
    </row>
    <row r="44" spans="1:12" x14ac:dyDescent="0.3">
      <c r="A44" t="s">
        <v>46</v>
      </c>
      <c r="B44" t="s">
        <v>51</v>
      </c>
      <c r="C44" s="1">
        <v>44732</v>
      </c>
      <c r="D44" t="s">
        <v>59</v>
      </c>
      <c r="E44" t="s">
        <v>67</v>
      </c>
      <c r="F44">
        <v>72</v>
      </c>
      <c r="G44" t="s">
        <v>0</v>
      </c>
      <c r="H44" s="2">
        <v>7</v>
      </c>
      <c r="I44" s="3">
        <v>0.18099169049889144</v>
      </c>
      <c r="J44">
        <f>PRODUCT(Table3[[#This Row],[Price of One Product]],Table3[[#This Row],[No of Products in one Sale]])</f>
        <v>504</v>
      </c>
      <c r="K44" s="6">
        <f>Table3[[#This Row],[Actual Sale]]*(1-Table3[[#This Row],[Discount]])</f>
        <v>412.78018798855874</v>
      </c>
      <c r="L44" t="str">
        <f>TEXT(Table3[[#This Row],[Sale Date]],"dddd")</f>
        <v>Monday</v>
      </c>
    </row>
    <row r="45" spans="1:12" x14ac:dyDescent="0.3">
      <c r="A45" t="s">
        <v>47</v>
      </c>
      <c r="B45" t="s">
        <v>52</v>
      </c>
      <c r="C45" s="1">
        <v>44738</v>
      </c>
      <c r="D45" t="s">
        <v>60</v>
      </c>
      <c r="E45" t="s">
        <v>67</v>
      </c>
      <c r="F45">
        <v>65</v>
      </c>
      <c r="G45" t="s">
        <v>1</v>
      </c>
      <c r="H45" s="2">
        <v>3</v>
      </c>
      <c r="I45" s="3">
        <v>0.17363786365000505</v>
      </c>
      <c r="J45">
        <f>PRODUCT(Table3[[#This Row],[Price of One Product]],Table3[[#This Row],[No of Products in one Sale]])</f>
        <v>195</v>
      </c>
      <c r="K45" s="6">
        <f>Table3[[#This Row],[Actual Sale]]*(1-Table3[[#This Row],[Discount]])</f>
        <v>161.140616588249</v>
      </c>
      <c r="L45" t="str">
        <f>TEXT(Table3[[#This Row],[Sale Date]],"dddd")</f>
        <v>Sunday</v>
      </c>
    </row>
    <row r="46" spans="1:12" x14ac:dyDescent="0.3">
      <c r="A46" t="s">
        <v>48</v>
      </c>
      <c r="B46" t="s">
        <v>53</v>
      </c>
      <c r="C46" s="1">
        <v>44730</v>
      </c>
      <c r="D46" t="s">
        <v>61</v>
      </c>
      <c r="E46" t="s">
        <v>67</v>
      </c>
      <c r="F46">
        <v>250</v>
      </c>
      <c r="G46" t="s">
        <v>2</v>
      </c>
      <c r="H46" s="2">
        <v>1</v>
      </c>
      <c r="I46" s="3">
        <v>0.75489814137474298</v>
      </c>
      <c r="J46">
        <f>PRODUCT(Table3[[#This Row],[Price of One Product]],Table3[[#This Row],[No of Products in one Sale]])</f>
        <v>250</v>
      </c>
      <c r="K46" s="6">
        <f>Table3[[#This Row],[Actual Sale]]*(1-Table3[[#This Row],[Discount]])</f>
        <v>61.275464656314256</v>
      </c>
      <c r="L46" t="str">
        <f>TEXT(Table3[[#This Row],[Sale Date]],"dddd")</f>
        <v>Saturday</v>
      </c>
    </row>
    <row r="47" spans="1:12" x14ac:dyDescent="0.3">
      <c r="A47" t="s">
        <v>49</v>
      </c>
      <c r="B47" t="s">
        <v>54</v>
      </c>
      <c r="C47" s="1">
        <v>44736</v>
      </c>
      <c r="D47" t="s">
        <v>62</v>
      </c>
      <c r="E47" t="s">
        <v>67</v>
      </c>
      <c r="F47">
        <v>130</v>
      </c>
      <c r="G47" t="s">
        <v>0</v>
      </c>
      <c r="H47" s="2">
        <v>6</v>
      </c>
      <c r="I47" s="3">
        <v>0.41826226246410803</v>
      </c>
      <c r="J47">
        <f>PRODUCT(Table3[[#This Row],[Price of One Product]],Table3[[#This Row],[No of Products in one Sale]])</f>
        <v>780</v>
      </c>
      <c r="K47" s="6">
        <f>Table3[[#This Row],[Actual Sale]]*(1-Table3[[#This Row],[Discount]])</f>
        <v>453.75543527799573</v>
      </c>
      <c r="L47" t="str">
        <f>TEXT(Table3[[#This Row],[Sale Date]],"dddd")</f>
        <v>Friday</v>
      </c>
    </row>
    <row r="48" spans="1:12" x14ac:dyDescent="0.3">
      <c r="A48" t="s">
        <v>71</v>
      </c>
      <c r="B48" t="s">
        <v>51</v>
      </c>
      <c r="C48" s="1">
        <v>44733</v>
      </c>
      <c r="D48" t="s">
        <v>59</v>
      </c>
      <c r="E48" t="s">
        <v>66</v>
      </c>
      <c r="F48">
        <v>72</v>
      </c>
      <c r="G48" t="s">
        <v>0</v>
      </c>
      <c r="H48" s="2">
        <v>4</v>
      </c>
      <c r="I48" s="3">
        <v>1.372080123313592E-2</v>
      </c>
      <c r="J48">
        <f>PRODUCT(Table3[[#This Row],[Price of One Product]],Table3[[#This Row],[No of Products in one Sale]])</f>
        <v>288</v>
      </c>
      <c r="K48" s="6">
        <f>Table3[[#This Row],[Actual Sale]]*(1-Table3[[#This Row],[Discount]])</f>
        <v>284.04840924485688</v>
      </c>
      <c r="L48" t="str">
        <f>TEXT(Table3[[#This Row],[Sale Date]],"dddd")</f>
        <v>Tuesday</v>
      </c>
    </row>
    <row r="49" spans="1:12" x14ac:dyDescent="0.3">
      <c r="A49" t="s">
        <v>72</v>
      </c>
      <c r="B49" t="s">
        <v>52</v>
      </c>
      <c r="C49" s="1">
        <v>44746</v>
      </c>
      <c r="D49" t="s">
        <v>60</v>
      </c>
      <c r="E49" t="s">
        <v>67</v>
      </c>
      <c r="F49">
        <v>65</v>
      </c>
      <c r="G49" t="s">
        <v>1</v>
      </c>
      <c r="H49" s="2">
        <v>6</v>
      </c>
      <c r="I49" s="3">
        <v>2.2083854314921911E-2</v>
      </c>
      <c r="J49">
        <f>PRODUCT(Table3[[#This Row],[Price of One Product]],Table3[[#This Row],[No of Products in one Sale]])</f>
        <v>390</v>
      </c>
      <c r="K49" s="6">
        <f>Table3[[#This Row],[Actual Sale]]*(1-Table3[[#This Row],[Discount]])</f>
        <v>381.38729681718047</v>
      </c>
      <c r="L49" t="str">
        <f>TEXT(Table3[[#This Row],[Sale Date]],"dddd")</f>
        <v>Monday</v>
      </c>
    </row>
    <row r="50" spans="1:12" x14ac:dyDescent="0.3">
      <c r="A50" t="s">
        <v>73</v>
      </c>
      <c r="B50" t="s">
        <v>53</v>
      </c>
      <c r="C50" s="1">
        <v>44755</v>
      </c>
      <c r="D50" t="s">
        <v>61</v>
      </c>
      <c r="E50" t="s">
        <v>66</v>
      </c>
      <c r="F50">
        <v>250</v>
      </c>
      <c r="G50" t="s">
        <v>2</v>
      </c>
      <c r="H50" s="2">
        <v>3</v>
      </c>
      <c r="I50" s="3">
        <v>0.92842323956324613</v>
      </c>
      <c r="J50">
        <f>PRODUCT(Table3[[#This Row],[Price of One Product]],Table3[[#This Row],[No of Products in one Sale]])</f>
        <v>750</v>
      </c>
      <c r="K50" s="6">
        <f>Table3[[#This Row],[Actual Sale]]*(1-Table3[[#This Row],[Discount]])</f>
        <v>53.682570327565401</v>
      </c>
      <c r="L50" t="str">
        <f>TEXT(Table3[[#This Row],[Sale Date]],"dddd")</f>
        <v>Wednesday</v>
      </c>
    </row>
    <row r="51" spans="1:12" x14ac:dyDescent="0.3">
      <c r="A51" t="s">
        <v>74</v>
      </c>
      <c r="B51" t="s">
        <v>54</v>
      </c>
      <c r="C51" s="1">
        <v>44755</v>
      </c>
      <c r="D51" t="s">
        <v>62</v>
      </c>
      <c r="E51" t="s">
        <v>67</v>
      </c>
      <c r="F51">
        <v>130</v>
      </c>
      <c r="G51" t="s">
        <v>0</v>
      </c>
      <c r="H51" s="2">
        <v>2</v>
      </c>
      <c r="I51" s="3">
        <v>0.20990358910221096</v>
      </c>
      <c r="J51">
        <f>PRODUCT(Table3[[#This Row],[Price of One Product]],Table3[[#This Row],[No of Products in one Sale]])</f>
        <v>260</v>
      </c>
      <c r="K51" s="6">
        <f>Table3[[#This Row],[Actual Sale]]*(1-Table3[[#This Row],[Discount]])</f>
        <v>205.42506683342515</v>
      </c>
      <c r="L51" t="str">
        <f>TEXT(Table3[[#This Row],[Sale Date]],"dddd")</f>
        <v>Wednesday</v>
      </c>
    </row>
    <row r="52" spans="1:12" x14ac:dyDescent="0.3">
      <c r="A52" t="s">
        <v>75</v>
      </c>
      <c r="B52" t="s">
        <v>51</v>
      </c>
      <c r="C52" s="1">
        <v>44727</v>
      </c>
      <c r="D52" t="s">
        <v>59</v>
      </c>
      <c r="E52" t="s">
        <v>66</v>
      </c>
      <c r="F52">
        <v>72</v>
      </c>
      <c r="G52" t="s">
        <v>1</v>
      </c>
      <c r="H52" s="2">
        <v>5</v>
      </c>
      <c r="I52" s="3">
        <v>0.184343159134289</v>
      </c>
      <c r="J52">
        <f>PRODUCT(Table3[[#This Row],[Price of One Product]],Table3[[#This Row],[No of Products in one Sale]])</f>
        <v>360</v>
      </c>
      <c r="K52" s="6">
        <f>Table3[[#This Row],[Actual Sale]]*(1-Table3[[#This Row],[Discount]])</f>
        <v>293.63646271165595</v>
      </c>
      <c r="L52" t="str">
        <f>TEXT(Table3[[#This Row],[Sale Date]],"dddd")</f>
        <v>Wednesday</v>
      </c>
    </row>
    <row r="53" spans="1:12" x14ac:dyDescent="0.3">
      <c r="A53" t="s">
        <v>76</v>
      </c>
      <c r="B53" t="s">
        <v>52</v>
      </c>
      <c r="C53" s="1">
        <v>44746</v>
      </c>
      <c r="D53" t="s">
        <v>60</v>
      </c>
      <c r="E53" t="s">
        <v>67</v>
      </c>
      <c r="F53">
        <v>65</v>
      </c>
      <c r="G53" t="s">
        <v>2</v>
      </c>
      <c r="H53" s="2">
        <v>8</v>
      </c>
      <c r="I53" s="3">
        <v>0.11144429073382323</v>
      </c>
      <c r="J53">
        <f>PRODUCT(Table3[[#This Row],[Price of One Product]],Table3[[#This Row],[No of Products in one Sale]])</f>
        <v>520</v>
      </c>
      <c r="K53" s="6">
        <f>Table3[[#This Row],[Actual Sale]]*(1-Table3[[#This Row],[Discount]])</f>
        <v>462.04896881841194</v>
      </c>
      <c r="L53" t="str">
        <f>TEXT(Table3[[#This Row],[Sale Date]],"dddd")</f>
        <v>Monday</v>
      </c>
    </row>
    <row r="54" spans="1:12" x14ac:dyDescent="0.3">
      <c r="A54" t="s">
        <v>77</v>
      </c>
      <c r="B54" t="s">
        <v>53</v>
      </c>
      <c r="C54" s="1">
        <v>44740</v>
      </c>
      <c r="D54" t="s">
        <v>61</v>
      </c>
      <c r="E54" t="s">
        <v>66</v>
      </c>
      <c r="F54">
        <v>250</v>
      </c>
      <c r="G54" t="s">
        <v>0</v>
      </c>
      <c r="H54" s="2">
        <v>3</v>
      </c>
      <c r="I54" s="3">
        <v>0.56286929186816415</v>
      </c>
      <c r="J54">
        <f>PRODUCT(Table3[[#This Row],[Price of One Product]],Table3[[#This Row],[No of Products in one Sale]])</f>
        <v>750</v>
      </c>
      <c r="K54" s="6">
        <f>Table3[[#This Row],[Actual Sale]]*(1-Table3[[#This Row],[Discount]])</f>
        <v>327.8480310988769</v>
      </c>
      <c r="L54" t="str">
        <f>TEXT(Table3[[#This Row],[Sale Date]],"dddd")</f>
        <v>Tuesday</v>
      </c>
    </row>
    <row r="55" spans="1:12" x14ac:dyDescent="0.3">
      <c r="A55" t="s">
        <v>78</v>
      </c>
      <c r="B55" t="s">
        <v>54</v>
      </c>
      <c r="C55" s="1">
        <v>44743</v>
      </c>
      <c r="D55" t="s">
        <v>62</v>
      </c>
      <c r="E55" t="s">
        <v>67</v>
      </c>
      <c r="F55">
        <v>130</v>
      </c>
      <c r="G55" t="s">
        <v>1</v>
      </c>
      <c r="H55" s="2">
        <v>3</v>
      </c>
      <c r="I55" s="3">
        <v>3.138956050307417E-2</v>
      </c>
      <c r="J55">
        <f>PRODUCT(Table3[[#This Row],[Price of One Product]],Table3[[#This Row],[No of Products in one Sale]])</f>
        <v>390</v>
      </c>
      <c r="K55" s="6">
        <f>Table3[[#This Row],[Actual Sale]]*(1-Table3[[#This Row],[Discount]])</f>
        <v>377.75807140380107</v>
      </c>
      <c r="L55" t="str">
        <f>TEXT(Table3[[#This Row],[Sale Date]],"dddd")</f>
        <v>Friday</v>
      </c>
    </row>
    <row r="56" spans="1:12" x14ac:dyDescent="0.3">
      <c r="A56" t="s">
        <v>79</v>
      </c>
      <c r="B56" t="s">
        <v>55</v>
      </c>
      <c r="C56" s="1">
        <v>44737</v>
      </c>
      <c r="D56" t="s">
        <v>63</v>
      </c>
      <c r="E56" t="s">
        <v>66</v>
      </c>
      <c r="F56">
        <v>60</v>
      </c>
      <c r="G56" t="s">
        <v>2</v>
      </c>
      <c r="H56" s="2">
        <v>13</v>
      </c>
      <c r="I56" s="3">
        <v>0.23798278495106248</v>
      </c>
      <c r="J56">
        <f>PRODUCT(Table3[[#This Row],[Price of One Product]],Table3[[#This Row],[No of Products in one Sale]])</f>
        <v>780</v>
      </c>
      <c r="K56" s="6">
        <f>Table3[[#This Row],[Actual Sale]]*(1-Table3[[#This Row],[Discount]])</f>
        <v>594.37342773817124</v>
      </c>
      <c r="L56" t="str">
        <f>TEXT(Table3[[#This Row],[Sale Date]],"dddd")</f>
        <v>Saturday</v>
      </c>
    </row>
    <row r="57" spans="1:12" x14ac:dyDescent="0.3">
      <c r="A57" t="s">
        <v>80</v>
      </c>
      <c r="B57" t="s">
        <v>51</v>
      </c>
      <c r="C57" s="1">
        <v>44757</v>
      </c>
      <c r="D57" t="s">
        <v>59</v>
      </c>
      <c r="E57" t="s">
        <v>67</v>
      </c>
      <c r="F57">
        <v>72</v>
      </c>
      <c r="G57" t="s">
        <v>0</v>
      </c>
      <c r="H57" s="2">
        <v>5</v>
      </c>
      <c r="I57" s="3">
        <v>0.19712344024473996</v>
      </c>
      <c r="J57">
        <f>PRODUCT(Table3[[#This Row],[Price of One Product]],Table3[[#This Row],[No of Products in one Sale]])</f>
        <v>360</v>
      </c>
      <c r="K57" s="6">
        <f>Table3[[#This Row],[Actual Sale]]*(1-Table3[[#This Row],[Discount]])</f>
        <v>289.0355615118936</v>
      </c>
      <c r="L57" t="str">
        <f>TEXT(Table3[[#This Row],[Sale Date]],"dddd")</f>
        <v>Friday</v>
      </c>
    </row>
    <row r="58" spans="1:12" x14ac:dyDescent="0.3">
      <c r="A58" t="s">
        <v>81</v>
      </c>
      <c r="B58" t="s">
        <v>52</v>
      </c>
      <c r="C58" s="1">
        <v>44745</v>
      </c>
      <c r="D58" t="s">
        <v>60</v>
      </c>
      <c r="E58" t="s">
        <v>66</v>
      </c>
      <c r="F58">
        <v>65</v>
      </c>
      <c r="G58" t="s">
        <v>1</v>
      </c>
      <c r="H58" s="2">
        <v>7</v>
      </c>
      <c r="I58" s="3">
        <v>6.8295799738434873E-2</v>
      </c>
      <c r="J58">
        <f>PRODUCT(Table3[[#This Row],[Price of One Product]],Table3[[#This Row],[No of Products in one Sale]])</f>
        <v>455</v>
      </c>
      <c r="K58" s="6">
        <f>Table3[[#This Row],[Actual Sale]]*(1-Table3[[#This Row],[Discount]])</f>
        <v>423.9254111190121</v>
      </c>
      <c r="L58" t="str">
        <f>TEXT(Table3[[#This Row],[Sale Date]],"dddd")</f>
        <v>Sunday</v>
      </c>
    </row>
    <row r="59" spans="1:12" x14ac:dyDescent="0.3">
      <c r="A59" t="s">
        <v>82</v>
      </c>
      <c r="B59" t="s">
        <v>53</v>
      </c>
      <c r="C59" s="1">
        <v>44760</v>
      </c>
      <c r="D59" t="s">
        <v>61</v>
      </c>
      <c r="E59" t="s">
        <v>67</v>
      </c>
      <c r="F59">
        <v>250</v>
      </c>
      <c r="G59" t="s">
        <v>2</v>
      </c>
      <c r="H59" s="2">
        <v>3</v>
      </c>
      <c r="I59" s="3">
        <v>1.6828522965904168E-2</v>
      </c>
      <c r="J59">
        <f>PRODUCT(Table3[[#This Row],[Price of One Product]],Table3[[#This Row],[No of Products in one Sale]])</f>
        <v>750</v>
      </c>
      <c r="K59" s="6">
        <f>Table3[[#This Row],[Actual Sale]]*(1-Table3[[#This Row],[Discount]])</f>
        <v>737.37860777557182</v>
      </c>
      <c r="L59" t="str">
        <f>TEXT(Table3[[#This Row],[Sale Date]],"dddd")</f>
        <v>Monday</v>
      </c>
    </row>
    <row r="60" spans="1:12" x14ac:dyDescent="0.3">
      <c r="A60" t="s">
        <v>83</v>
      </c>
      <c r="B60" t="s">
        <v>54</v>
      </c>
      <c r="C60" s="1">
        <v>44750</v>
      </c>
      <c r="D60" t="s">
        <v>62</v>
      </c>
      <c r="E60" t="s">
        <v>66</v>
      </c>
      <c r="F60">
        <v>130</v>
      </c>
      <c r="G60" t="s">
        <v>0</v>
      </c>
      <c r="H60" s="2">
        <v>6</v>
      </c>
      <c r="I60" s="3">
        <v>0.26661284065553453</v>
      </c>
      <c r="J60">
        <f>PRODUCT(Table3[[#This Row],[Price of One Product]],Table3[[#This Row],[No of Products in one Sale]])</f>
        <v>780</v>
      </c>
      <c r="K60" s="6">
        <f>Table3[[#This Row],[Actual Sale]]*(1-Table3[[#This Row],[Discount]])</f>
        <v>572.04198428868301</v>
      </c>
      <c r="L60" t="str">
        <f>TEXT(Table3[[#This Row],[Sale Date]],"dddd")</f>
        <v>Friday</v>
      </c>
    </row>
    <row r="61" spans="1:12" x14ac:dyDescent="0.3">
      <c r="A61" t="s">
        <v>84</v>
      </c>
      <c r="B61" t="s">
        <v>51</v>
      </c>
      <c r="C61" s="1">
        <v>44742</v>
      </c>
      <c r="D61" t="s">
        <v>59</v>
      </c>
      <c r="E61" t="s">
        <v>67</v>
      </c>
      <c r="F61">
        <v>72</v>
      </c>
      <c r="G61" t="s">
        <v>1</v>
      </c>
      <c r="H61" s="2">
        <v>11</v>
      </c>
      <c r="I61" s="3">
        <v>0.21251347110701568</v>
      </c>
      <c r="J61">
        <f>PRODUCT(Table3[[#This Row],[Price of One Product]],Table3[[#This Row],[No of Products in one Sale]])</f>
        <v>792</v>
      </c>
      <c r="K61" s="6">
        <f>Table3[[#This Row],[Actual Sale]]*(1-Table3[[#This Row],[Discount]])</f>
        <v>623.68933088324354</v>
      </c>
      <c r="L61" t="str">
        <f>TEXT(Table3[[#This Row],[Sale Date]],"dddd")</f>
        <v>Thursday</v>
      </c>
    </row>
    <row r="62" spans="1:12" x14ac:dyDescent="0.3">
      <c r="A62" t="s">
        <v>85</v>
      </c>
      <c r="B62" t="s">
        <v>52</v>
      </c>
      <c r="C62" s="1">
        <v>44754</v>
      </c>
      <c r="D62" t="s">
        <v>60</v>
      </c>
      <c r="E62" t="s">
        <v>66</v>
      </c>
      <c r="F62">
        <v>65</v>
      </c>
      <c r="G62" t="s">
        <v>2</v>
      </c>
      <c r="H62" s="2">
        <v>12</v>
      </c>
      <c r="I62" s="3">
        <v>0.10994257661413849</v>
      </c>
      <c r="J62">
        <f>PRODUCT(Table3[[#This Row],[Price of One Product]],Table3[[#This Row],[No of Products in one Sale]])</f>
        <v>780</v>
      </c>
      <c r="K62" s="6">
        <f>Table3[[#This Row],[Actual Sale]]*(1-Table3[[#This Row],[Discount]])</f>
        <v>694.24479024097195</v>
      </c>
      <c r="L62" t="str">
        <f>TEXT(Table3[[#This Row],[Sale Date]],"dddd")</f>
        <v>Tuesday</v>
      </c>
    </row>
    <row r="63" spans="1:12" x14ac:dyDescent="0.3">
      <c r="A63" t="s">
        <v>86</v>
      </c>
      <c r="B63" t="s">
        <v>53</v>
      </c>
      <c r="C63" s="1">
        <v>44746</v>
      </c>
      <c r="D63" t="s">
        <v>61</v>
      </c>
      <c r="E63" t="s">
        <v>67</v>
      </c>
      <c r="F63">
        <v>250</v>
      </c>
      <c r="G63" t="s">
        <v>0</v>
      </c>
      <c r="H63" s="2">
        <v>2</v>
      </c>
      <c r="I63" s="3">
        <v>0.53607498908607099</v>
      </c>
      <c r="J63">
        <f>PRODUCT(Table3[[#This Row],[Price of One Product]],Table3[[#This Row],[No of Products in one Sale]])</f>
        <v>500</v>
      </c>
      <c r="K63" s="6">
        <f>Table3[[#This Row],[Actual Sale]]*(1-Table3[[#This Row],[Discount]])</f>
        <v>231.96250545696449</v>
      </c>
      <c r="L63" t="str">
        <f>TEXT(Table3[[#This Row],[Sale Date]],"dddd")</f>
        <v>Monday</v>
      </c>
    </row>
    <row r="64" spans="1:12" x14ac:dyDescent="0.3">
      <c r="A64" t="s">
        <v>87</v>
      </c>
      <c r="B64" t="s">
        <v>54</v>
      </c>
      <c r="C64" s="1">
        <v>44752</v>
      </c>
      <c r="D64" t="s">
        <v>62</v>
      </c>
      <c r="E64" t="s">
        <v>66</v>
      </c>
      <c r="F64">
        <v>130</v>
      </c>
      <c r="G64" t="s">
        <v>1</v>
      </c>
      <c r="H64" s="2">
        <v>6</v>
      </c>
      <c r="I64" s="3">
        <v>3.7515550327758003E-2</v>
      </c>
      <c r="J64">
        <f>PRODUCT(Table3[[#This Row],[Price of One Product]],Table3[[#This Row],[No of Products in one Sale]])</f>
        <v>780</v>
      </c>
      <c r="K64" s="6">
        <f>Table3[[#This Row],[Actual Sale]]*(1-Table3[[#This Row],[Discount]])</f>
        <v>750.73787074434881</v>
      </c>
      <c r="L64" t="str">
        <f>TEXT(Table3[[#This Row],[Sale Date]],"dddd")</f>
        <v>Sunday</v>
      </c>
    </row>
    <row r="65" spans="1:12" x14ac:dyDescent="0.3">
      <c r="A65" t="s">
        <v>88</v>
      </c>
      <c r="B65" t="s">
        <v>55</v>
      </c>
      <c r="C65" s="1">
        <v>44725</v>
      </c>
      <c r="D65" t="s">
        <v>63</v>
      </c>
      <c r="E65" t="s">
        <v>66</v>
      </c>
      <c r="F65">
        <v>60</v>
      </c>
      <c r="G65" t="s">
        <v>2</v>
      </c>
      <c r="H65" s="2">
        <v>15</v>
      </c>
      <c r="I65" s="3">
        <v>2.4938289886663061E-2</v>
      </c>
      <c r="J65">
        <f>PRODUCT(Table3[[#This Row],[Price of One Product]],Table3[[#This Row],[No of Products in one Sale]])</f>
        <v>900</v>
      </c>
      <c r="K65" s="6">
        <f>Table3[[#This Row],[Actual Sale]]*(1-Table3[[#This Row],[Discount]])</f>
        <v>877.55553910200331</v>
      </c>
      <c r="L65" t="str">
        <f>TEXT(Table3[[#This Row],[Sale Date]],"dddd")</f>
        <v>Monday</v>
      </c>
    </row>
    <row r="66" spans="1:12" x14ac:dyDescent="0.3">
      <c r="A66" t="s">
        <v>89</v>
      </c>
      <c r="B66" t="s">
        <v>56</v>
      </c>
      <c r="C66" s="1">
        <v>44734</v>
      </c>
      <c r="D66" t="s">
        <v>64</v>
      </c>
      <c r="E66" t="s">
        <v>67</v>
      </c>
      <c r="F66">
        <v>95</v>
      </c>
      <c r="G66" t="s">
        <v>0</v>
      </c>
      <c r="H66" s="2">
        <v>9</v>
      </c>
      <c r="I66" s="3">
        <v>1.0123391970414241E-2</v>
      </c>
      <c r="J66">
        <f>PRODUCT(Table3[[#This Row],[Price of One Product]],Table3[[#This Row],[No of Products in one Sale]])</f>
        <v>855</v>
      </c>
      <c r="K66" s="6">
        <f>Table3[[#This Row],[Actual Sale]]*(1-Table3[[#This Row],[Discount]])</f>
        <v>846.3444998652958</v>
      </c>
      <c r="L66" t="str">
        <f>TEXT(Table3[[#This Row],[Sale Date]],"dddd")</f>
        <v>Wednesday</v>
      </c>
    </row>
    <row r="67" spans="1:12" x14ac:dyDescent="0.3">
      <c r="A67" t="s">
        <v>90</v>
      </c>
      <c r="B67" t="s">
        <v>51</v>
      </c>
      <c r="C67" s="1">
        <v>44761</v>
      </c>
      <c r="D67" t="s">
        <v>59</v>
      </c>
      <c r="E67" t="s">
        <v>67</v>
      </c>
      <c r="F67">
        <v>72</v>
      </c>
      <c r="G67" t="s">
        <v>1</v>
      </c>
      <c r="H67" s="2">
        <v>12</v>
      </c>
      <c r="I67" s="3">
        <v>0.1308869366379137</v>
      </c>
      <c r="J67">
        <f>PRODUCT(Table3[[#This Row],[Price of One Product]],Table3[[#This Row],[No of Products in one Sale]])</f>
        <v>864</v>
      </c>
      <c r="K67" s="6">
        <f>Table3[[#This Row],[Actual Sale]]*(1-Table3[[#This Row],[Discount]])</f>
        <v>750.91368674484249</v>
      </c>
      <c r="L67" t="str">
        <f>TEXT(Table3[[#This Row],[Sale Date]],"dddd")</f>
        <v>Tuesday</v>
      </c>
    </row>
    <row r="68" spans="1:12" x14ac:dyDescent="0.3">
      <c r="A68" t="s">
        <v>91</v>
      </c>
      <c r="B68" t="s">
        <v>52</v>
      </c>
      <c r="C68" s="1">
        <v>44735</v>
      </c>
      <c r="D68" t="s">
        <v>60</v>
      </c>
      <c r="E68" t="s">
        <v>67</v>
      </c>
      <c r="F68">
        <v>65</v>
      </c>
      <c r="G68" t="s">
        <v>2</v>
      </c>
      <c r="H68" s="2">
        <v>7</v>
      </c>
      <c r="I68" s="3">
        <v>6.6961969492996459E-2</v>
      </c>
      <c r="J68">
        <f>PRODUCT(Table3[[#This Row],[Price of One Product]],Table3[[#This Row],[No of Products in one Sale]])</f>
        <v>455</v>
      </c>
      <c r="K68" s="6">
        <f>Table3[[#This Row],[Actual Sale]]*(1-Table3[[#This Row],[Discount]])</f>
        <v>424.53230388068658</v>
      </c>
      <c r="L68" t="str">
        <f>TEXT(Table3[[#This Row],[Sale Date]],"dddd")</f>
        <v>Thursday</v>
      </c>
    </row>
    <row r="69" spans="1:12" x14ac:dyDescent="0.3">
      <c r="A69" t="s">
        <v>92</v>
      </c>
      <c r="B69" t="s">
        <v>53</v>
      </c>
      <c r="C69" s="1">
        <v>44753</v>
      </c>
      <c r="D69" t="s">
        <v>61</v>
      </c>
      <c r="E69" t="s">
        <v>66</v>
      </c>
      <c r="F69">
        <v>250</v>
      </c>
      <c r="G69" t="s">
        <v>0</v>
      </c>
      <c r="H69" s="2">
        <v>3</v>
      </c>
      <c r="I69" s="3">
        <v>0.36350761794645753</v>
      </c>
      <c r="J69">
        <f>PRODUCT(Table3[[#This Row],[Price of One Product]],Table3[[#This Row],[No of Products in one Sale]])</f>
        <v>750</v>
      </c>
      <c r="K69" s="6">
        <f>Table3[[#This Row],[Actual Sale]]*(1-Table3[[#This Row],[Discount]])</f>
        <v>477.36928654015679</v>
      </c>
      <c r="L69" t="str">
        <f>TEXT(Table3[[#This Row],[Sale Date]],"dddd")</f>
        <v>Monday</v>
      </c>
    </row>
    <row r="70" spans="1:12" x14ac:dyDescent="0.3">
      <c r="A70" t="s">
        <v>93</v>
      </c>
      <c r="B70" t="s">
        <v>54</v>
      </c>
      <c r="C70" s="1">
        <v>44732</v>
      </c>
      <c r="D70" t="s">
        <v>62</v>
      </c>
      <c r="E70" t="s">
        <v>66</v>
      </c>
      <c r="F70">
        <v>130</v>
      </c>
      <c r="G70" t="s">
        <v>1</v>
      </c>
      <c r="H70" s="2">
        <v>6</v>
      </c>
      <c r="I70" s="3">
        <v>0.30841415491993102</v>
      </c>
      <c r="J70">
        <f>PRODUCT(Table3[[#This Row],[Price of One Product]],Table3[[#This Row],[No of Products in one Sale]])</f>
        <v>780</v>
      </c>
      <c r="K70" s="6">
        <f>Table3[[#This Row],[Actual Sale]]*(1-Table3[[#This Row],[Discount]])</f>
        <v>539.43695916245372</v>
      </c>
      <c r="L70" t="str">
        <f>TEXT(Table3[[#This Row],[Sale Date]],"dddd")</f>
        <v>Monday</v>
      </c>
    </row>
    <row r="71" spans="1:12" x14ac:dyDescent="0.3">
      <c r="A71" t="s">
        <v>94</v>
      </c>
      <c r="B71" t="s">
        <v>51</v>
      </c>
      <c r="C71" s="1">
        <v>44748</v>
      </c>
      <c r="D71" t="s">
        <v>59</v>
      </c>
      <c r="E71" t="s">
        <v>66</v>
      </c>
      <c r="F71">
        <v>72</v>
      </c>
      <c r="G71" t="s">
        <v>2</v>
      </c>
      <c r="H71" s="2">
        <v>9</v>
      </c>
      <c r="I71" s="3">
        <v>0.21287301321989574</v>
      </c>
      <c r="J71">
        <f>PRODUCT(Table3[[#This Row],[Price of One Product]],Table3[[#This Row],[No of Products in one Sale]])</f>
        <v>648</v>
      </c>
      <c r="K71" s="6">
        <f>Table3[[#This Row],[Actual Sale]]*(1-Table3[[#This Row],[Discount]])</f>
        <v>510.05828743350759</v>
      </c>
      <c r="L71" t="str">
        <f>TEXT(Table3[[#This Row],[Sale Date]],"dddd")</f>
        <v>Wednesday</v>
      </c>
    </row>
    <row r="72" spans="1:12" x14ac:dyDescent="0.3">
      <c r="A72" t="s">
        <v>95</v>
      </c>
      <c r="B72" t="s">
        <v>52</v>
      </c>
      <c r="C72" s="1">
        <v>44731</v>
      </c>
      <c r="D72" t="s">
        <v>60</v>
      </c>
      <c r="E72" t="s">
        <v>66</v>
      </c>
      <c r="F72">
        <v>65</v>
      </c>
      <c r="G72" t="s">
        <v>0</v>
      </c>
      <c r="H72" s="2">
        <v>4</v>
      </c>
      <c r="I72" s="3">
        <v>0.11047742601795077</v>
      </c>
      <c r="J72">
        <f>PRODUCT(Table3[[#This Row],[Price of One Product]],Table3[[#This Row],[No of Products in one Sale]])</f>
        <v>260</v>
      </c>
      <c r="K72" s="6">
        <f>Table3[[#This Row],[Actual Sale]]*(1-Table3[[#This Row],[Discount]])</f>
        <v>231.27586923533281</v>
      </c>
      <c r="L72" t="str">
        <f>TEXT(Table3[[#This Row],[Sale Date]],"dddd")</f>
        <v>Sunday</v>
      </c>
    </row>
    <row r="73" spans="1:12" x14ac:dyDescent="0.3">
      <c r="A73" t="s">
        <v>96</v>
      </c>
      <c r="B73" t="s">
        <v>53</v>
      </c>
      <c r="C73" s="1">
        <v>44725</v>
      </c>
      <c r="D73" t="s">
        <v>61</v>
      </c>
      <c r="E73" t="s">
        <v>66</v>
      </c>
      <c r="F73">
        <v>250</v>
      </c>
      <c r="G73" t="s">
        <v>1</v>
      </c>
      <c r="H73" s="2">
        <v>2</v>
      </c>
      <c r="I73" s="3">
        <v>4.8799156151631218E-2</v>
      </c>
      <c r="J73">
        <f>PRODUCT(Table3[[#This Row],[Price of One Product]],Table3[[#This Row],[No of Products in one Sale]])</f>
        <v>500</v>
      </c>
      <c r="K73" s="6">
        <f>Table3[[#This Row],[Actual Sale]]*(1-Table3[[#This Row],[Discount]])</f>
        <v>475.60042192418439</v>
      </c>
      <c r="L73" t="str">
        <f>TEXT(Table3[[#This Row],[Sale Date]],"dddd")</f>
        <v>Monday</v>
      </c>
    </row>
    <row r="74" spans="1:12" x14ac:dyDescent="0.3">
      <c r="A74" t="s">
        <v>97</v>
      </c>
      <c r="B74" t="s">
        <v>54</v>
      </c>
      <c r="C74" s="1">
        <v>44753</v>
      </c>
      <c r="D74" t="s">
        <v>62</v>
      </c>
      <c r="E74" t="s">
        <v>66</v>
      </c>
      <c r="F74">
        <v>130</v>
      </c>
      <c r="G74" t="s">
        <v>2</v>
      </c>
      <c r="H74" s="2">
        <v>6</v>
      </c>
      <c r="I74" s="3">
        <v>0.27879506176921365</v>
      </c>
      <c r="J74">
        <f>PRODUCT(Table3[[#This Row],[Price of One Product]],Table3[[#This Row],[No of Products in one Sale]])</f>
        <v>780</v>
      </c>
      <c r="K74" s="6">
        <f>Table3[[#This Row],[Actual Sale]]*(1-Table3[[#This Row],[Discount]])</f>
        <v>562.53985182001338</v>
      </c>
      <c r="L74" t="str">
        <f>TEXT(Table3[[#This Row],[Sale Date]],"dddd")</f>
        <v>Monday</v>
      </c>
    </row>
    <row r="75" spans="1:12" x14ac:dyDescent="0.3">
      <c r="A75" t="s">
        <v>98</v>
      </c>
      <c r="B75" t="s">
        <v>55</v>
      </c>
      <c r="C75" s="1">
        <v>44738</v>
      </c>
      <c r="D75" t="s">
        <v>63</v>
      </c>
      <c r="E75" t="s">
        <v>66</v>
      </c>
      <c r="F75">
        <v>60</v>
      </c>
      <c r="G75" t="s">
        <v>0</v>
      </c>
      <c r="H75" s="2">
        <v>9</v>
      </c>
      <c r="I75" s="3">
        <v>7.6045534046593019E-2</v>
      </c>
      <c r="J75">
        <f>PRODUCT(Table3[[#This Row],[Price of One Product]],Table3[[#This Row],[No of Products in one Sale]])</f>
        <v>540</v>
      </c>
      <c r="K75" s="6">
        <f>Table3[[#This Row],[Actual Sale]]*(1-Table3[[#This Row],[Discount]])</f>
        <v>498.93541161483978</v>
      </c>
      <c r="L75" t="str">
        <f>TEXT(Table3[[#This Row],[Sale Date]],"dddd")</f>
        <v>Sunday</v>
      </c>
    </row>
    <row r="76" spans="1:12" x14ac:dyDescent="0.3">
      <c r="A76" t="s">
        <v>99</v>
      </c>
      <c r="B76" t="s">
        <v>51</v>
      </c>
      <c r="C76" s="1">
        <v>44762</v>
      </c>
      <c r="D76" t="s">
        <v>59</v>
      </c>
      <c r="E76" t="s">
        <v>66</v>
      </c>
      <c r="F76">
        <v>72</v>
      </c>
      <c r="G76" t="s">
        <v>1</v>
      </c>
      <c r="H76" s="2">
        <v>11</v>
      </c>
      <c r="I76" s="3">
        <v>0.12055762754740325</v>
      </c>
      <c r="J76">
        <f>PRODUCT(Table3[[#This Row],[Price of One Product]],Table3[[#This Row],[No of Products in one Sale]])</f>
        <v>792</v>
      </c>
      <c r="K76" s="6">
        <f>Table3[[#This Row],[Actual Sale]]*(1-Table3[[#This Row],[Discount]])</f>
        <v>696.51835898245656</v>
      </c>
      <c r="L76" t="str">
        <f>TEXT(Table3[[#This Row],[Sale Date]],"dddd")</f>
        <v>Wednesday</v>
      </c>
    </row>
    <row r="77" spans="1:12" x14ac:dyDescent="0.3">
      <c r="A77" t="s">
        <v>100</v>
      </c>
      <c r="B77" t="s">
        <v>52</v>
      </c>
      <c r="C77" s="1">
        <v>44756</v>
      </c>
      <c r="D77" t="s">
        <v>60</v>
      </c>
      <c r="E77" t="s">
        <v>66</v>
      </c>
      <c r="F77">
        <v>65</v>
      </c>
      <c r="G77" t="s">
        <v>2</v>
      </c>
      <c r="H77" s="2">
        <v>13</v>
      </c>
      <c r="I77" s="3">
        <v>0.30283946337780637</v>
      </c>
      <c r="J77">
        <f>PRODUCT(Table3[[#This Row],[Price of One Product]],Table3[[#This Row],[No of Products in one Sale]])</f>
        <v>845</v>
      </c>
      <c r="K77" s="6">
        <f>Table3[[#This Row],[Actual Sale]]*(1-Table3[[#This Row],[Discount]])</f>
        <v>589.10065344575355</v>
      </c>
      <c r="L77" t="str">
        <f>TEXT(Table3[[#This Row],[Sale Date]],"dddd")</f>
        <v>Thursday</v>
      </c>
    </row>
    <row r="78" spans="1:12" x14ac:dyDescent="0.3">
      <c r="A78" t="s">
        <v>101</v>
      </c>
      <c r="B78" t="s">
        <v>53</v>
      </c>
      <c r="C78" s="1">
        <v>44744</v>
      </c>
      <c r="D78" t="s">
        <v>61</v>
      </c>
      <c r="E78" t="s">
        <v>67</v>
      </c>
      <c r="F78">
        <v>250</v>
      </c>
      <c r="G78" t="s">
        <v>0</v>
      </c>
      <c r="H78" s="2">
        <v>2</v>
      </c>
      <c r="I78" s="3">
        <v>0.41401829873258272</v>
      </c>
      <c r="J78">
        <f>PRODUCT(Table3[[#This Row],[Price of One Product]],Table3[[#This Row],[No of Products in one Sale]])</f>
        <v>500</v>
      </c>
      <c r="K78" s="6">
        <f>Table3[[#This Row],[Actual Sale]]*(1-Table3[[#This Row],[Discount]])</f>
        <v>292.99085063370865</v>
      </c>
      <c r="L78" t="str">
        <f>TEXT(Table3[[#This Row],[Sale Date]],"dddd")</f>
        <v>Saturday</v>
      </c>
    </row>
    <row r="79" spans="1:12" x14ac:dyDescent="0.3">
      <c r="A79" t="s">
        <v>102</v>
      </c>
      <c r="B79" t="s">
        <v>54</v>
      </c>
      <c r="C79" s="1">
        <v>44753</v>
      </c>
      <c r="D79" t="s">
        <v>62</v>
      </c>
      <c r="E79" t="s">
        <v>66</v>
      </c>
      <c r="F79">
        <v>130</v>
      </c>
      <c r="G79" t="s">
        <v>1</v>
      </c>
      <c r="H79" s="2">
        <v>6</v>
      </c>
      <c r="I79" s="3">
        <v>6.1603660271292333E-3</v>
      </c>
      <c r="J79">
        <f>PRODUCT(Table3[[#This Row],[Price of One Product]],Table3[[#This Row],[No of Products in one Sale]])</f>
        <v>780</v>
      </c>
      <c r="K79" s="6">
        <f>Table3[[#This Row],[Actual Sale]]*(1-Table3[[#This Row],[Discount]])</f>
        <v>775.19491449883924</v>
      </c>
      <c r="L79" t="str">
        <f>TEXT(Table3[[#This Row],[Sale Date]],"dddd")</f>
        <v>Monday</v>
      </c>
    </row>
    <row r="80" spans="1:12" x14ac:dyDescent="0.3">
      <c r="A80" t="s">
        <v>103</v>
      </c>
      <c r="B80" t="s">
        <v>51</v>
      </c>
      <c r="C80" s="1">
        <v>44762</v>
      </c>
      <c r="D80" t="s">
        <v>59</v>
      </c>
      <c r="E80" t="s">
        <v>66</v>
      </c>
      <c r="F80">
        <v>72</v>
      </c>
      <c r="G80" t="s">
        <v>2</v>
      </c>
      <c r="H80" s="2">
        <v>12</v>
      </c>
      <c r="I80" s="3">
        <v>0.10495963672233184</v>
      </c>
      <c r="J80">
        <f>PRODUCT(Table3[[#This Row],[Price of One Product]],Table3[[#This Row],[No of Products in one Sale]])</f>
        <v>864</v>
      </c>
      <c r="K80" s="6">
        <f>Table3[[#This Row],[Actual Sale]]*(1-Table3[[#This Row],[Discount]])</f>
        <v>773.31487387190521</v>
      </c>
      <c r="L80" t="str">
        <f>TEXT(Table3[[#This Row],[Sale Date]],"dddd")</f>
        <v>Wednesday</v>
      </c>
    </row>
    <row r="81" spans="1:12" x14ac:dyDescent="0.3">
      <c r="A81" t="s">
        <v>104</v>
      </c>
      <c r="B81" t="s">
        <v>52</v>
      </c>
      <c r="C81" s="1">
        <v>44740</v>
      </c>
      <c r="D81" t="s">
        <v>60</v>
      </c>
      <c r="E81" t="s">
        <v>66</v>
      </c>
      <c r="F81">
        <v>65</v>
      </c>
      <c r="G81" t="s">
        <v>0</v>
      </c>
      <c r="H81" s="2">
        <v>11</v>
      </c>
      <c r="I81" s="3">
        <v>0.29377273906475571</v>
      </c>
      <c r="J81">
        <f>PRODUCT(Table3[[#This Row],[Price of One Product]],Table3[[#This Row],[No of Products in one Sale]])</f>
        <v>715</v>
      </c>
      <c r="K81" s="6">
        <f>Table3[[#This Row],[Actual Sale]]*(1-Table3[[#This Row],[Discount]])</f>
        <v>504.95249156869966</v>
      </c>
      <c r="L81" t="str">
        <f>TEXT(Table3[[#This Row],[Sale Date]],"dddd")</f>
        <v>Tuesday</v>
      </c>
    </row>
    <row r="82" spans="1:12" x14ac:dyDescent="0.3">
      <c r="A82" t="s">
        <v>105</v>
      </c>
      <c r="B82" t="s">
        <v>53</v>
      </c>
      <c r="C82" s="1">
        <v>44729</v>
      </c>
      <c r="D82" t="s">
        <v>61</v>
      </c>
      <c r="E82" t="s">
        <v>66</v>
      </c>
      <c r="F82">
        <v>250</v>
      </c>
      <c r="G82" t="s">
        <v>1</v>
      </c>
      <c r="H82" s="2">
        <v>3</v>
      </c>
      <c r="I82" s="3">
        <v>0.56559810101924179</v>
      </c>
      <c r="J82">
        <f>PRODUCT(Table3[[#This Row],[Price of One Product]],Table3[[#This Row],[No of Products in one Sale]])</f>
        <v>750</v>
      </c>
      <c r="K82" s="6">
        <f>Table3[[#This Row],[Actual Sale]]*(1-Table3[[#This Row],[Discount]])</f>
        <v>325.80142423556867</v>
      </c>
      <c r="L82" t="str">
        <f>TEXT(Table3[[#This Row],[Sale Date]],"dddd")</f>
        <v>Friday</v>
      </c>
    </row>
    <row r="83" spans="1:12" x14ac:dyDescent="0.3">
      <c r="A83" t="s">
        <v>106</v>
      </c>
      <c r="B83" t="s">
        <v>54</v>
      </c>
      <c r="C83" s="1">
        <v>44727</v>
      </c>
      <c r="D83" t="s">
        <v>62</v>
      </c>
      <c r="E83" t="s">
        <v>66</v>
      </c>
      <c r="F83">
        <v>130</v>
      </c>
      <c r="G83" t="s">
        <v>2</v>
      </c>
      <c r="H83" s="2">
        <v>4</v>
      </c>
      <c r="I83" s="3">
        <v>0.14180367825735268</v>
      </c>
      <c r="J83">
        <f>PRODUCT(Table3[[#This Row],[Price of One Product]],Table3[[#This Row],[No of Products in one Sale]])</f>
        <v>520</v>
      </c>
      <c r="K83" s="6">
        <f>Table3[[#This Row],[Actual Sale]]*(1-Table3[[#This Row],[Discount]])</f>
        <v>446.26208730617662</v>
      </c>
      <c r="L83" t="str">
        <f>TEXT(Table3[[#This Row],[Sale Date]],"dddd")</f>
        <v>Wednesday</v>
      </c>
    </row>
    <row r="84" spans="1:12" x14ac:dyDescent="0.3">
      <c r="A84" t="s">
        <v>107</v>
      </c>
      <c r="B84" t="s">
        <v>55</v>
      </c>
      <c r="C84" s="1">
        <v>44734</v>
      </c>
      <c r="D84" t="s">
        <v>63</v>
      </c>
      <c r="E84" t="s">
        <v>67</v>
      </c>
      <c r="F84">
        <v>60</v>
      </c>
      <c r="G84" t="s">
        <v>0</v>
      </c>
      <c r="H84" s="2">
        <v>14</v>
      </c>
      <c r="I84" s="3">
        <v>0.19727585407121537</v>
      </c>
      <c r="J84">
        <f>PRODUCT(Table3[[#This Row],[Price of One Product]],Table3[[#This Row],[No of Products in one Sale]])</f>
        <v>840</v>
      </c>
      <c r="K84" s="6">
        <f>Table3[[#This Row],[Actual Sale]]*(1-Table3[[#This Row],[Discount]])</f>
        <v>674.28828258017904</v>
      </c>
      <c r="L84" t="str">
        <f>TEXT(Table3[[#This Row],[Sale Date]],"dddd")</f>
        <v>Wednesday</v>
      </c>
    </row>
    <row r="85" spans="1:12" x14ac:dyDescent="0.3">
      <c r="A85" t="s">
        <v>108</v>
      </c>
      <c r="B85" t="s">
        <v>56</v>
      </c>
      <c r="C85" s="1">
        <v>44744</v>
      </c>
      <c r="D85" t="s">
        <v>64</v>
      </c>
      <c r="E85" t="s">
        <v>66</v>
      </c>
      <c r="F85">
        <v>95</v>
      </c>
      <c r="G85" t="s">
        <v>1</v>
      </c>
      <c r="H85" s="2">
        <v>2</v>
      </c>
      <c r="I85" s="3">
        <v>0.16026707373910823</v>
      </c>
      <c r="J85">
        <f>PRODUCT(Table3[[#This Row],[Price of One Product]],Table3[[#This Row],[No of Products in one Sale]])</f>
        <v>190</v>
      </c>
      <c r="K85" s="6">
        <f>Table3[[#This Row],[Actual Sale]]*(1-Table3[[#This Row],[Discount]])</f>
        <v>159.54925598956945</v>
      </c>
      <c r="L85" t="str">
        <f>TEXT(Table3[[#This Row],[Sale Date]],"dddd")</f>
        <v>Saturday</v>
      </c>
    </row>
    <row r="86" spans="1:12" x14ac:dyDescent="0.3">
      <c r="A86" t="s">
        <v>109</v>
      </c>
      <c r="B86" t="s">
        <v>51</v>
      </c>
      <c r="C86" s="1">
        <v>44737</v>
      </c>
      <c r="D86" t="s">
        <v>59</v>
      </c>
      <c r="E86" t="s">
        <v>66</v>
      </c>
      <c r="F86">
        <v>72</v>
      </c>
      <c r="G86" t="s">
        <v>2</v>
      </c>
      <c r="H86" s="2">
        <v>4</v>
      </c>
      <c r="I86" s="3">
        <v>3.6754234817017679E-2</v>
      </c>
      <c r="J86">
        <f>PRODUCT(Table3[[#This Row],[Price of One Product]],Table3[[#This Row],[No of Products in one Sale]])</f>
        <v>288</v>
      </c>
      <c r="K86" s="6">
        <f>Table3[[#This Row],[Actual Sale]]*(1-Table3[[#This Row],[Discount]])</f>
        <v>277.41478037269889</v>
      </c>
      <c r="L86" t="str">
        <f>TEXT(Table3[[#This Row],[Sale Date]],"dddd")</f>
        <v>Saturday</v>
      </c>
    </row>
    <row r="87" spans="1:12" x14ac:dyDescent="0.3">
      <c r="A87" t="s">
        <v>110</v>
      </c>
      <c r="B87" t="s">
        <v>52</v>
      </c>
      <c r="C87" s="1">
        <v>44752</v>
      </c>
      <c r="D87" t="s">
        <v>60</v>
      </c>
      <c r="E87" t="s">
        <v>66</v>
      </c>
      <c r="F87">
        <v>65</v>
      </c>
      <c r="G87" t="s">
        <v>0</v>
      </c>
      <c r="H87" s="2">
        <v>6</v>
      </c>
      <c r="I87" s="3">
        <v>0.12047427034169578</v>
      </c>
      <c r="J87">
        <f>PRODUCT(Table3[[#This Row],[Price of One Product]],Table3[[#This Row],[No of Products in one Sale]])</f>
        <v>390</v>
      </c>
      <c r="K87" s="6">
        <f>Table3[[#This Row],[Actual Sale]]*(1-Table3[[#This Row],[Discount]])</f>
        <v>343.01503456673862</v>
      </c>
      <c r="L87" t="str">
        <f>TEXT(Table3[[#This Row],[Sale Date]],"dddd")</f>
        <v>Sunday</v>
      </c>
    </row>
    <row r="88" spans="1:12" x14ac:dyDescent="0.3">
      <c r="A88" t="s">
        <v>111</v>
      </c>
      <c r="B88" t="s">
        <v>53</v>
      </c>
      <c r="C88" s="1">
        <v>44736</v>
      </c>
      <c r="D88" t="s">
        <v>61</v>
      </c>
      <c r="E88" t="s">
        <v>67</v>
      </c>
      <c r="F88">
        <v>250</v>
      </c>
      <c r="G88" t="s">
        <v>1</v>
      </c>
      <c r="H88" s="2">
        <v>2</v>
      </c>
      <c r="I88" s="3">
        <v>0.38636401364592987</v>
      </c>
      <c r="J88">
        <f>PRODUCT(Table3[[#This Row],[Price of One Product]],Table3[[#This Row],[No of Products in one Sale]])</f>
        <v>500</v>
      </c>
      <c r="K88" s="6">
        <f>Table3[[#This Row],[Actual Sale]]*(1-Table3[[#This Row],[Discount]])</f>
        <v>306.81799317703508</v>
      </c>
      <c r="L88" t="str">
        <f>TEXT(Table3[[#This Row],[Sale Date]],"dddd")</f>
        <v>Friday</v>
      </c>
    </row>
    <row r="89" spans="1:12" x14ac:dyDescent="0.3">
      <c r="A89" t="s">
        <v>112</v>
      </c>
      <c r="B89" t="s">
        <v>54</v>
      </c>
      <c r="C89" s="1">
        <v>44752</v>
      </c>
      <c r="D89" t="s">
        <v>62</v>
      </c>
      <c r="E89" t="s">
        <v>67</v>
      </c>
      <c r="F89">
        <v>130</v>
      </c>
      <c r="G89" t="s">
        <v>2</v>
      </c>
      <c r="H89" s="2">
        <v>5</v>
      </c>
      <c r="I89" s="3">
        <v>0.25111930985495906</v>
      </c>
      <c r="J89">
        <f>PRODUCT(Table3[[#This Row],[Price of One Product]],Table3[[#This Row],[No of Products in one Sale]])</f>
        <v>650</v>
      </c>
      <c r="K89" s="6">
        <f>Table3[[#This Row],[Actual Sale]]*(1-Table3[[#This Row],[Discount]])</f>
        <v>486.77244859427657</v>
      </c>
      <c r="L89" t="str">
        <f>TEXT(Table3[[#This Row],[Sale Date]],"dddd")</f>
        <v>Sunday</v>
      </c>
    </row>
    <row r="90" spans="1:12" x14ac:dyDescent="0.3">
      <c r="A90" t="s">
        <v>113</v>
      </c>
      <c r="B90" t="s">
        <v>51</v>
      </c>
      <c r="C90" s="1">
        <v>44759</v>
      </c>
      <c r="D90" t="s">
        <v>59</v>
      </c>
      <c r="E90" t="s">
        <v>67</v>
      </c>
      <c r="F90">
        <v>72</v>
      </c>
      <c r="G90" t="s">
        <v>0</v>
      </c>
      <c r="H90" s="2">
        <v>6</v>
      </c>
      <c r="I90" s="3">
        <v>0.18099169049889144</v>
      </c>
      <c r="J90">
        <f>PRODUCT(Table3[[#This Row],[Price of One Product]],Table3[[#This Row],[No of Products in one Sale]])</f>
        <v>432</v>
      </c>
      <c r="K90" s="6">
        <f>Table3[[#This Row],[Actual Sale]]*(1-Table3[[#This Row],[Discount]])</f>
        <v>353.81158970447893</v>
      </c>
      <c r="L90" t="str">
        <f>TEXT(Table3[[#This Row],[Sale Date]],"dddd")</f>
        <v>Sunday</v>
      </c>
    </row>
    <row r="91" spans="1:12" x14ac:dyDescent="0.3">
      <c r="A91" t="s">
        <v>114</v>
      </c>
      <c r="B91" t="s">
        <v>52</v>
      </c>
      <c r="C91" s="1">
        <v>44763</v>
      </c>
      <c r="D91" t="s">
        <v>60</v>
      </c>
      <c r="E91" t="s">
        <v>67</v>
      </c>
      <c r="F91">
        <v>65</v>
      </c>
      <c r="G91" t="s">
        <v>1</v>
      </c>
      <c r="H91" s="2">
        <v>6</v>
      </c>
      <c r="I91" s="3">
        <v>0.17363786365000505</v>
      </c>
      <c r="J91">
        <f>PRODUCT(Table3[[#This Row],[Price of One Product]],Table3[[#This Row],[No of Products in one Sale]])</f>
        <v>390</v>
      </c>
      <c r="K91" s="6">
        <f>Table3[[#This Row],[Actual Sale]]*(1-Table3[[#This Row],[Discount]])</f>
        <v>322.28123317649801</v>
      </c>
      <c r="L91" t="str">
        <f>TEXT(Table3[[#This Row],[Sale Date]],"dddd")</f>
        <v>Thursday</v>
      </c>
    </row>
    <row r="92" spans="1:12" x14ac:dyDescent="0.3">
      <c r="A92" t="s">
        <v>115</v>
      </c>
      <c r="B92" t="s">
        <v>53</v>
      </c>
      <c r="C92" s="1">
        <v>44763</v>
      </c>
      <c r="D92" t="s">
        <v>61</v>
      </c>
      <c r="E92" t="s">
        <v>67</v>
      </c>
      <c r="F92">
        <v>250</v>
      </c>
      <c r="G92" t="s">
        <v>2</v>
      </c>
      <c r="H92" s="2">
        <v>3</v>
      </c>
      <c r="I92" s="3">
        <v>0.75489814137474298</v>
      </c>
      <c r="J92">
        <f>PRODUCT(Table3[[#This Row],[Price of One Product]],Table3[[#This Row],[No of Products in one Sale]])</f>
        <v>750</v>
      </c>
      <c r="K92" s="6">
        <f>Table3[[#This Row],[Actual Sale]]*(1-Table3[[#This Row],[Discount]])</f>
        <v>183.82639396894277</v>
      </c>
      <c r="L92" t="str">
        <f>TEXT(Table3[[#This Row],[Sale Date]],"dddd")</f>
        <v>Thursday</v>
      </c>
    </row>
    <row r="93" spans="1:12" x14ac:dyDescent="0.3">
      <c r="A93" t="s">
        <v>116</v>
      </c>
      <c r="B93" t="s">
        <v>54</v>
      </c>
      <c r="C93" s="1">
        <v>44750</v>
      </c>
      <c r="D93" t="s">
        <v>62</v>
      </c>
      <c r="E93" t="s">
        <v>67</v>
      </c>
      <c r="F93">
        <v>130</v>
      </c>
      <c r="G93" t="s">
        <v>0</v>
      </c>
      <c r="H93" s="2">
        <v>4</v>
      </c>
      <c r="I93" s="3">
        <v>0.41826226246410803</v>
      </c>
      <c r="J93">
        <f>PRODUCT(Table3[[#This Row],[Price of One Product]],Table3[[#This Row],[No of Products in one Sale]])</f>
        <v>520</v>
      </c>
      <c r="K93" s="6">
        <f>Table3[[#This Row],[Actual Sale]]*(1-Table3[[#This Row],[Discount]])</f>
        <v>302.5036235186638</v>
      </c>
      <c r="L93" t="str">
        <f>TEXT(Table3[[#This Row],[Sale Date]],"dddd")</f>
        <v>Friday</v>
      </c>
    </row>
    <row r="94" spans="1:12" x14ac:dyDescent="0.3">
      <c r="A94" t="s">
        <v>117</v>
      </c>
      <c r="B94" t="s">
        <v>51</v>
      </c>
      <c r="C94" s="1">
        <v>44751</v>
      </c>
      <c r="D94" t="s">
        <v>59</v>
      </c>
      <c r="E94" t="s">
        <v>66</v>
      </c>
      <c r="F94">
        <v>72</v>
      </c>
      <c r="G94" t="s">
        <v>0</v>
      </c>
      <c r="H94" s="2">
        <v>11</v>
      </c>
      <c r="I94" s="3">
        <v>0.52183512590850833</v>
      </c>
      <c r="J94">
        <f>PRODUCT(Table3[[#This Row],[Price of One Product]],Table3[[#This Row],[No of Products in one Sale]])</f>
        <v>792</v>
      </c>
      <c r="K94" s="6">
        <f>Table3[[#This Row],[Actual Sale]]*(1-Table3[[#This Row],[Discount]])</f>
        <v>378.70658028046142</v>
      </c>
      <c r="L94" t="str">
        <f>TEXT(Table3[[#This Row],[Sale Date]],"dddd")</f>
        <v>Saturday</v>
      </c>
    </row>
    <row r="95" spans="1:12" x14ac:dyDescent="0.3">
      <c r="A95" t="s">
        <v>118</v>
      </c>
      <c r="B95" t="s">
        <v>52</v>
      </c>
      <c r="C95" s="1">
        <v>44736</v>
      </c>
      <c r="D95" t="s">
        <v>60</v>
      </c>
      <c r="E95" t="s">
        <v>67</v>
      </c>
      <c r="F95">
        <v>65</v>
      </c>
      <c r="G95" t="s">
        <v>1</v>
      </c>
      <c r="H95" s="2">
        <v>12</v>
      </c>
      <c r="I95" s="3">
        <v>0.4407264983607897</v>
      </c>
      <c r="J95">
        <f>PRODUCT(Table3[[#This Row],[Price of One Product]],Table3[[#This Row],[No of Products in one Sale]])</f>
        <v>780</v>
      </c>
      <c r="K95" s="6">
        <f>Table3[[#This Row],[Actual Sale]]*(1-Table3[[#This Row],[Discount]])</f>
        <v>436.23333127858405</v>
      </c>
      <c r="L95" t="str">
        <f>TEXT(Table3[[#This Row],[Sale Date]],"dddd")</f>
        <v>Friday</v>
      </c>
    </row>
    <row r="96" spans="1:12" x14ac:dyDescent="0.3">
      <c r="A96" t="s">
        <v>119</v>
      </c>
      <c r="B96" t="s">
        <v>53</v>
      </c>
      <c r="C96" s="1">
        <v>44737</v>
      </c>
      <c r="D96" t="s">
        <v>61</v>
      </c>
      <c r="E96" t="s">
        <v>66</v>
      </c>
      <c r="F96">
        <v>250</v>
      </c>
      <c r="G96" t="s">
        <v>2</v>
      </c>
      <c r="H96" s="2">
        <v>3</v>
      </c>
      <c r="I96" s="3">
        <v>0.30123769132028422</v>
      </c>
      <c r="J96">
        <f>PRODUCT(Table3[[#This Row],[Price of One Product]],Table3[[#This Row],[No of Products in one Sale]])</f>
        <v>750</v>
      </c>
      <c r="K96" s="6">
        <f>Table3[[#This Row],[Actual Sale]]*(1-Table3[[#This Row],[Discount]])</f>
        <v>524.07173150978679</v>
      </c>
      <c r="L96" t="str">
        <f>TEXT(Table3[[#This Row],[Sale Date]],"dddd")</f>
        <v>Saturday</v>
      </c>
    </row>
    <row r="97" spans="1:12" x14ac:dyDescent="0.3">
      <c r="A97" t="s">
        <v>120</v>
      </c>
      <c r="B97" t="s">
        <v>54</v>
      </c>
      <c r="C97" s="1">
        <v>44744</v>
      </c>
      <c r="D97" t="s">
        <v>62</v>
      </c>
      <c r="E97" t="s">
        <v>67</v>
      </c>
      <c r="F97">
        <v>130</v>
      </c>
      <c r="G97" t="s">
        <v>0</v>
      </c>
      <c r="H97" s="2">
        <v>4</v>
      </c>
      <c r="I97" s="3">
        <v>0.42020557863905661</v>
      </c>
      <c r="J97">
        <f>PRODUCT(Table3[[#This Row],[Price of One Product]],Table3[[#This Row],[No of Products in one Sale]])</f>
        <v>520</v>
      </c>
      <c r="K97" s="6">
        <f>Table3[[#This Row],[Actual Sale]]*(1-Table3[[#This Row],[Discount]])</f>
        <v>301.49309910769057</v>
      </c>
      <c r="L97" t="str">
        <f>TEXT(Table3[[#This Row],[Sale Date]],"dddd")</f>
        <v>Saturday</v>
      </c>
    </row>
    <row r="98" spans="1:12" x14ac:dyDescent="0.3">
      <c r="A98" t="s">
        <v>121</v>
      </c>
      <c r="B98" t="s">
        <v>51</v>
      </c>
      <c r="C98" s="1">
        <v>44735</v>
      </c>
      <c r="D98" t="s">
        <v>59</v>
      </c>
      <c r="E98" t="s">
        <v>66</v>
      </c>
      <c r="F98">
        <v>72</v>
      </c>
      <c r="G98" t="s">
        <v>1</v>
      </c>
      <c r="H98" s="2">
        <v>10</v>
      </c>
      <c r="I98" s="3">
        <v>0.38179966249899233</v>
      </c>
      <c r="J98">
        <f>PRODUCT(Table3[[#This Row],[Price of One Product]],Table3[[#This Row],[No of Products in one Sale]])</f>
        <v>720</v>
      </c>
      <c r="K98" s="6">
        <f>Table3[[#This Row],[Actual Sale]]*(1-Table3[[#This Row],[Discount]])</f>
        <v>445.10424300072555</v>
      </c>
      <c r="L98" t="str">
        <f>TEXT(Table3[[#This Row],[Sale Date]],"dddd")</f>
        <v>Thursday</v>
      </c>
    </row>
    <row r="99" spans="1:12" x14ac:dyDescent="0.3">
      <c r="A99" t="s">
        <v>122</v>
      </c>
      <c r="B99" t="s">
        <v>52</v>
      </c>
      <c r="C99" s="1">
        <v>44751</v>
      </c>
      <c r="D99" t="s">
        <v>60</v>
      </c>
      <c r="E99" t="s">
        <v>67</v>
      </c>
      <c r="F99">
        <v>65</v>
      </c>
      <c r="G99" t="s">
        <v>2</v>
      </c>
      <c r="H99" s="2">
        <v>5</v>
      </c>
      <c r="I99" s="3">
        <v>4.8435914836800764E-3</v>
      </c>
      <c r="J99">
        <f>PRODUCT(Table3[[#This Row],[Price of One Product]],Table3[[#This Row],[No of Products in one Sale]])</f>
        <v>325</v>
      </c>
      <c r="K99" s="6">
        <f>Table3[[#This Row],[Actual Sale]]*(1-Table3[[#This Row],[Discount]])</f>
        <v>323.42583276780397</v>
      </c>
      <c r="L99" t="str">
        <f>TEXT(Table3[[#This Row],[Sale Date]],"dddd")</f>
        <v>Saturday</v>
      </c>
    </row>
    <row r="100" spans="1:12" x14ac:dyDescent="0.3">
      <c r="A100" t="s">
        <v>123</v>
      </c>
      <c r="B100" t="s">
        <v>53</v>
      </c>
      <c r="C100" s="1">
        <v>44726</v>
      </c>
      <c r="D100" t="s">
        <v>61</v>
      </c>
      <c r="E100" t="s">
        <v>66</v>
      </c>
      <c r="F100">
        <v>250</v>
      </c>
      <c r="G100" t="s">
        <v>0</v>
      </c>
      <c r="H100" s="2">
        <v>2</v>
      </c>
      <c r="I100" s="3">
        <v>0.63857584714373206</v>
      </c>
      <c r="J100">
        <f>PRODUCT(Table3[[#This Row],[Price of One Product]],Table3[[#This Row],[No of Products in one Sale]])</f>
        <v>500</v>
      </c>
      <c r="K100" s="6">
        <f>Table3[[#This Row],[Actual Sale]]*(1-Table3[[#This Row],[Discount]])</f>
        <v>180.71207642813397</v>
      </c>
      <c r="L100" t="str">
        <f>TEXT(Table3[[#This Row],[Sale Date]],"dddd")</f>
        <v>Tuesday</v>
      </c>
    </row>
    <row r="101" spans="1:12" x14ac:dyDescent="0.3">
      <c r="A101" t="s">
        <v>124</v>
      </c>
      <c r="B101" t="s">
        <v>54</v>
      </c>
      <c r="C101" s="1">
        <v>44749</v>
      </c>
      <c r="D101" t="s">
        <v>62</v>
      </c>
      <c r="E101" t="s">
        <v>67</v>
      </c>
      <c r="F101">
        <v>130</v>
      </c>
      <c r="G101" t="s">
        <v>1</v>
      </c>
      <c r="H101" s="2">
        <v>7</v>
      </c>
      <c r="I101" s="3">
        <v>0.92544771931561698</v>
      </c>
      <c r="J101">
        <f>PRODUCT(Table3[[#This Row],[Price of One Product]],Table3[[#This Row],[No of Products in one Sale]])</f>
        <v>910</v>
      </c>
      <c r="K101" s="6">
        <f>Table3[[#This Row],[Actual Sale]]*(1-Table3[[#This Row],[Discount]])</f>
        <v>67.842575422788542</v>
      </c>
      <c r="L101" t="str">
        <f>TEXT(Table3[[#This Row],[Sale Date]],"dddd")</f>
        <v>Thursday</v>
      </c>
    </row>
    <row r="102" spans="1:12" x14ac:dyDescent="0.3">
      <c r="A102" t="s">
        <v>125</v>
      </c>
      <c r="B102" t="s">
        <v>55</v>
      </c>
      <c r="C102" s="1">
        <v>44734</v>
      </c>
      <c r="D102" t="s">
        <v>63</v>
      </c>
      <c r="E102" t="s">
        <v>66</v>
      </c>
      <c r="F102">
        <v>60</v>
      </c>
      <c r="G102" t="s">
        <v>2</v>
      </c>
      <c r="H102" s="2">
        <v>10</v>
      </c>
      <c r="I102" s="3">
        <v>4.9069353138029403E-2</v>
      </c>
      <c r="J102">
        <f>PRODUCT(Table3[[#This Row],[Price of One Product]],Table3[[#This Row],[No of Products in one Sale]])</f>
        <v>600</v>
      </c>
      <c r="K102" s="6">
        <f>Table3[[#This Row],[Actual Sale]]*(1-Table3[[#This Row],[Discount]])</f>
        <v>570.5583881171824</v>
      </c>
      <c r="L102" t="str">
        <f>TEXT(Table3[[#This Row],[Sale Date]],"dddd")</f>
        <v>Wednesday</v>
      </c>
    </row>
    <row r="103" spans="1:12" x14ac:dyDescent="0.3">
      <c r="A103" t="s">
        <v>126</v>
      </c>
      <c r="B103" t="s">
        <v>51</v>
      </c>
      <c r="C103" s="1">
        <v>44726</v>
      </c>
      <c r="D103" t="s">
        <v>59</v>
      </c>
      <c r="E103" t="s">
        <v>67</v>
      </c>
      <c r="F103">
        <v>72</v>
      </c>
      <c r="G103" t="s">
        <v>0</v>
      </c>
      <c r="H103" s="2">
        <v>11</v>
      </c>
      <c r="I103" s="3">
        <v>0.7875779554918797</v>
      </c>
      <c r="J103">
        <f>PRODUCT(Table3[[#This Row],[Price of One Product]],Table3[[#This Row],[No of Products in one Sale]])</f>
        <v>792</v>
      </c>
      <c r="K103" s="6">
        <f>Table3[[#This Row],[Actual Sale]]*(1-Table3[[#This Row],[Discount]])</f>
        <v>168.23825925043127</v>
      </c>
      <c r="L103" t="str">
        <f>TEXT(Table3[[#This Row],[Sale Date]],"dddd")</f>
        <v>Tuesday</v>
      </c>
    </row>
    <row r="104" spans="1:12" x14ac:dyDescent="0.3">
      <c r="A104" t="s">
        <v>127</v>
      </c>
      <c r="B104" t="s">
        <v>52</v>
      </c>
      <c r="C104" s="1">
        <v>44743</v>
      </c>
      <c r="D104" t="s">
        <v>60</v>
      </c>
      <c r="E104" t="s">
        <v>66</v>
      </c>
      <c r="F104">
        <v>65</v>
      </c>
      <c r="G104" t="s">
        <v>1</v>
      </c>
      <c r="H104" s="2">
        <v>13</v>
      </c>
      <c r="I104" s="3">
        <v>0.4468603878067412</v>
      </c>
      <c r="J104">
        <f>PRODUCT(Table3[[#This Row],[Price of One Product]],Table3[[#This Row],[No of Products in one Sale]])</f>
        <v>845</v>
      </c>
      <c r="K104" s="6">
        <f>Table3[[#This Row],[Actual Sale]]*(1-Table3[[#This Row],[Discount]])</f>
        <v>467.40297230330367</v>
      </c>
      <c r="L104" t="str">
        <f>TEXT(Table3[[#This Row],[Sale Date]],"dddd")</f>
        <v>Friday</v>
      </c>
    </row>
    <row r="105" spans="1:12" x14ac:dyDescent="0.3">
      <c r="A105" t="s">
        <v>128</v>
      </c>
      <c r="B105" t="s">
        <v>53</v>
      </c>
      <c r="C105" s="1">
        <v>44742</v>
      </c>
      <c r="D105" t="s">
        <v>61</v>
      </c>
      <c r="E105" t="s">
        <v>67</v>
      </c>
      <c r="F105">
        <v>250</v>
      </c>
      <c r="G105" t="s">
        <v>2</v>
      </c>
      <c r="H105" s="2">
        <v>2</v>
      </c>
      <c r="I105" s="3">
        <v>0.89674363393446022</v>
      </c>
      <c r="J105">
        <f>PRODUCT(Table3[[#This Row],[Price of One Product]],Table3[[#This Row],[No of Products in one Sale]])</f>
        <v>500</v>
      </c>
      <c r="K105" s="6">
        <f>Table3[[#This Row],[Actual Sale]]*(1-Table3[[#This Row],[Discount]])</f>
        <v>51.62818303276989</v>
      </c>
      <c r="L105" t="str">
        <f>TEXT(Table3[[#This Row],[Sale Date]],"dddd")</f>
        <v>Thursday</v>
      </c>
    </row>
    <row r="106" spans="1:12" x14ac:dyDescent="0.3">
      <c r="A106" t="s">
        <v>129</v>
      </c>
      <c r="B106" t="s">
        <v>54</v>
      </c>
      <c r="C106" s="1">
        <v>44747</v>
      </c>
      <c r="D106" t="s">
        <v>62</v>
      </c>
      <c r="E106" t="s">
        <v>66</v>
      </c>
      <c r="F106">
        <v>130</v>
      </c>
      <c r="G106" t="s">
        <v>0</v>
      </c>
      <c r="H106" s="2">
        <v>6</v>
      </c>
      <c r="I106" s="3">
        <v>3.2373342558606799E-2</v>
      </c>
      <c r="J106">
        <f>PRODUCT(Table3[[#This Row],[Price of One Product]],Table3[[#This Row],[No of Products in one Sale]])</f>
        <v>780</v>
      </c>
      <c r="K106" s="6">
        <f>Table3[[#This Row],[Actual Sale]]*(1-Table3[[#This Row],[Discount]])</f>
        <v>754.74879280428672</v>
      </c>
      <c r="L106" t="str">
        <f>TEXT(Table3[[#This Row],[Sale Date]],"dddd")</f>
        <v>Tuesday</v>
      </c>
    </row>
    <row r="107" spans="1:12" x14ac:dyDescent="0.3">
      <c r="A107" t="s">
        <v>130</v>
      </c>
      <c r="B107" t="s">
        <v>51</v>
      </c>
      <c r="C107" s="1">
        <v>44764</v>
      </c>
      <c r="D107" t="s">
        <v>59</v>
      </c>
      <c r="E107" t="s">
        <v>67</v>
      </c>
      <c r="F107">
        <v>72</v>
      </c>
      <c r="G107" t="s">
        <v>1</v>
      </c>
      <c r="H107" s="2">
        <v>11</v>
      </c>
      <c r="I107" s="3">
        <v>0.94247200152138155</v>
      </c>
      <c r="J107">
        <f>PRODUCT(Table3[[#This Row],[Price of One Product]],Table3[[#This Row],[No of Products in one Sale]])</f>
        <v>792</v>
      </c>
      <c r="K107" s="6">
        <f>Table3[[#This Row],[Actual Sale]]*(1-Table3[[#This Row],[Discount]])</f>
        <v>45.562174795065808</v>
      </c>
      <c r="L107" t="str">
        <f>TEXT(Table3[[#This Row],[Sale Date]],"dddd")</f>
        <v>Friday</v>
      </c>
    </row>
    <row r="108" spans="1:12" x14ac:dyDescent="0.3">
      <c r="A108" t="s">
        <v>131</v>
      </c>
      <c r="B108" t="s">
        <v>52</v>
      </c>
      <c r="C108" s="1">
        <v>44735</v>
      </c>
      <c r="D108" t="s">
        <v>60</v>
      </c>
      <c r="E108" t="s">
        <v>66</v>
      </c>
      <c r="F108">
        <v>65</v>
      </c>
      <c r="G108" t="s">
        <v>2</v>
      </c>
      <c r="H108" s="2">
        <v>7</v>
      </c>
      <c r="I108" s="3">
        <v>0.24863680679080546</v>
      </c>
      <c r="J108">
        <f>PRODUCT(Table3[[#This Row],[Price of One Product]],Table3[[#This Row],[No of Products in one Sale]])</f>
        <v>455</v>
      </c>
      <c r="K108" s="6">
        <f>Table3[[#This Row],[Actual Sale]]*(1-Table3[[#This Row],[Discount]])</f>
        <v>341.87025291018352</v>
      </c>
      <c r="L108" t="str">
        <f>TEXT(Table3[[#This Row],[Sale Date]],"dddd")</f>
        <v>Thursday</v>
      </c>
    </row>
    <row r="109" spans="1:12" x14ac:dyDescent="0.3">
      <c r="A109" t="s">
        <v>132</v>
      </c>
      <c r="B109" t="s">
        <v>53</v>
      </c>
      <c r="C109" s="1">
        <v>44737</v>
      </c>
      <c r="D109" t="s">
        <v>61</v>
      </c>
      <c r="E109" t="s">
        <v>67</v>
      </c>
      <c r="F109">
        <v>250</v>
      </c>
      <c r="G109" t="s">
        <v>0</v>
      </c>
      <c r="H109" s="2">
        <v>1</v>
      </c>
      <c r="I109" s="3">
        <v>4.9896521056402299E-2</v>
      </c>
      <c r="J109">
        <f>PRODUCT(Table3[[#This Row],[Price of One Product]],Table3[[#This Row],[No of Products in one Sale]])</f>
        <v>250</v>
      </c>
      <c r="K109" s="6">
        <f>Table3[[#This Row],[Actual Sale]]*(1-Table3[[#This Row],[Discount]])</f>
        <v>237.52586973589942</v>
      </c>
      <c r="L109" t="str">
        <f>TEXT(Table3[[#This Row],[Sale Date]],"dddd")</f>
        <v>Saturday</v>
      </c>
    </row>
    <row r="110" spans="1:12" x14ac:dyDescent="0.3">
      <c r="A110" t="s">
        <v>133</v>
      </c>
      <c r="B110" t="s">
        <v>54</v>
      </c>
      <c r="C110" s="1">
        <v>44749</v>
      </c>
      <c r="D110" t="s">
        <v>62</v>
      </c>
      <c r="E110" t="s">
        <v>66</v>
      </c>
      <c r="F110">
        <v>130</v>
      </c>
      <c r="G110" t="s">
        <v>1</v>
      </c>
      <c r="H110" s="2">
        <v>7</v>
      </c>
      <c r="I110" s="3">
        <v>0.49618340188276622</v>
      </c>
      <c r="J110">
        <f>PRODUCT(Table3[[#This Row],[Price of One Product]],Table3[[#This Row],[No of Products in one Sale]])</f>
        <v>910</v>
      </c>
      <c r="K110" s="6">
        <f>Table3[[#This Row],[Actual Sale]]*(1-Table3[[#This Row],[Discount]])</f>
        <v>458.47310428668277</v>
      </c>
      <c r="L110" t="str">
        <f>TEXT(Table3[[#This Row],[Sale Date]],"dddd")</f>
        <v>Thursday</v>
      </c>
    </row>
    <row r="111" spans="1:12" x14ac:dyDescent="0.3">
      <c r="A111" t="s">
        <v>134</v>
      </c>
      <c r="B111" t="s">
        <v>55</v>
      </c>
      <c r="C111" s="1">
        <v>44729</v>
      </c>
      <c r="D111" t="s">
        <v>63</v>
      </c>
      <c r="E111" t="s">
        <v>66</v>
      </c>
      <c r="F111">
        <v>60</v>
      </c>
      <c r="G111" t="s">
        <v>2</v>
      </c>
      <c r="H111" s="2">
        <v>13</v>
      </c>
      <c r="I111" s="3">
        <v>0.62889621592411693</v>
      </c>
      <c r="J111">
        <f>PRODUCT(Table3[[#This Row],[Price of One Product]],Table3[[#This Row],[No of Products in one Sale]])</f>
        <v>780</v>
      </c>
      <c r="K111" s="6">
        <f>Table3[[#This Row],[Actual Sale]]*(1-Table3[[#This Row],[Discount]])</f>
        <v>289.46095157918882</v>
      </c>
      <c r="L111" t="str">
        <f>TEXT(Table3[[#This Row],[Sale Date]],"dddd")</f>
        <v>Friday</v>
      </c>
    </row>
    <row r="112" spans="1:12" x14ac:dyDescent="0.3">
      <c r="A112" t="s">
        <v>135</v>
      </c>
      <c r="B112" t="s">
        <v>56</v>
      </c>
      <c r="C112" s="1">
        <v>44738</v>
      </c>
      <c r="D112" t="s">
        <v>64</v>
      </c>
      <c r="E112" t="s">
        <v>67</v>
      </c>
      <c r="F112">
        <v>95</v>
      </c>
      <c r="G112" t="s">
        <v>0</v>
      </c>
      <c r="H112" s="2">
        <v>8</v>
      </c>
      <c r="I112" s="3">
        <v>0.87580490637929664</v>
      </c>
      <c r="J112">
        <f>PRODUCT(Table3[[#This Row],[Price of One Product]],Table3[[#This Row],[No of Products in one Sale]])</f>
        <v>760</v>
      </c>
      <c r="K112" s="6">
        <f>Table3[[#This Row],[Actual Sale]]*(1-Table3[[#This Row],[Discount]])</f>
        <v>94.388271151734557</v>
      </c>
      <c r="L112" t="str">
        <f>TEXT(Table3[[#This Row],[Sale Date]],"dddd")</f>
        <v>Sunday</v>
      </c>
    </row>
    <row r="113" spans="1:12" x14ac:dyDescent="0.3">
      <c r="A113" t="s">
        <v>136</v>
      </c>
      <c r="B113" t="s">
        <v>51</v>
      </c>
      <c r="C113" s="1">
        <v>44740</v>
      </c>
      <c r="D113" t="s">
        <v>59</v>
      </c>
      <c r="E113" t="s">
        <v>67</v>
      </c>
      <c r="F113">
        <v>72</v>
      </c>
      <c r="G113" t="s">
        <v>1</v>
      </c>
      <c r="H113" s="2">
        <v>11</v>
      </c>
      <c r="I113" s="3">
        <v>0.37069854126093349</v>
      </c>
      <c r="J113">
        <f>PRODUCT(Table3[[#This Row],[Price of One Product]],Table3[[#This Row],[No of Products in one Sale]])</f>
        <v>792</v>
      </c>
      <c r="K113" s="6">
        <f>Table3[[#This Row],[Actual Sale]]*(1-Table3[[#This Row],[Discount]])</f>
        <v>498.40675532134065</v>
      </c>
      <c r="L113" t="str">
        <f>TEXT(Table3[[#This Row],[Sale Date]],"dddd")</f>
        <v>Tuesday</v>
      </c>
    </row>
    <row r="114" spans="1:12" x14ac:dyDescent="0.3">
      <c r="A114" t="s">
        <v>137</v>
      </c>
      <c r="B114" t="s">
        <v>52</v>
      </c>
      <c r="C114" s="1">
        <v>44755</v>
      </c>
      <c r="D114" t="s">
        <v>60</v>
      </c>
      <c r="E114" t="s">
        <v>67</v>
      </c>
      <c r="F114">
        <v>65</v>
      </c>
      <c r="G114" t="s">
        <v>2</v>
      </c>
      <c r="H114" s="2">
        <v>10</v>
      </c>
      <c r="I114" s="3">
        <v>0.64422602074286228</v>
      </c>
      <c r="J114">
        <f>PRODUCT(Table3[[#This Row],[Price of One Product]],Table3[[#This Row],[No of Products in one Sale]])</f>
        <v>650</v>
      </c>
      <c r="K114" s="6">
        <f>Table3[[#This Row],[Actual Sale]]*(1-Table3[[#This Row],[Discount]])</f>
        <v>231.25308651713951</v>
      </c>
      <c r="L114" t="str">
        <f>TEXT(Table3[[#This Row],[Sale Date]],"dddd")</f>
        <v>Wednesday</v>
      </c>
    </row>
    <row r="115" spans="1:12" x14ac:dyDescent="0.3">
      <c r="A115" t="s">
        <v>138</v>
      </c>
      <c r="B115" t="s">
        <v>53</v>
      </c>
      <c r="C115" s="1">
        <v>44755</v>
      </c>
      <c r="D115" t="s">
        <v>61</v>
      </c>
      <c r="E115" t="s">
        <v>66</v>
      </c>
      <c r="F115">
        <v>250</v>
      </c>
      <c r="G115" t="s">
        <v>0</v>
      </c>
      <c r="H115" s="2">
        <v>2</v>
      </c>
      <c r="I115" s="3">
        <v>0.76652707543193765</v>
      </c>
      <c r="J115">
        <f>PRODUCT(Table3[[#This Row],[Price of One Product]],Table3[[#This Row],[No of Products in one Sale]])</f>
        <v>500</v>
      </c>
      <c r="K115" s="6">
        <f>Table3[[#This Row],[Actual Sale]]*(1-Table3[[#This Row],[Discount]])</f>
        <v>116.73646228403118</v>
      </c>
      <c r="L115" t="str">
        <f>TEXT(Table3[[#This Row],[Sale Date]],"dddd")</f>
        <v>Wednesday</v>
      </c>
    </row>
    <row r="116" spans="1:12" x14ac:dyDescent="0.3">
      <c r="A116" t="s">
        <v>139</v>
      </c>
      <c r="B116" t="s">
        <v>54</v>
      </c>
      <c r="C116" s="1">
        <v>44764</v>
      </c>
      <c r="D116" t="s">
        <v>62</v>
      </c>
      <c r="E116" t="s">
        <v>66</v>
      </c>
      <c r="F116">
        <v>130</v>
      </c>
      <c r="G116" t="s">
        <v>1</v>
      </c>
      <c r="H116" s="2">
        <v>2</v>
      </c>
      <c r="I116" s="3">
        <v>0.74416329829954486</v>
      </c>
      <c r="J116">
        <f>PRODUCT(Table3[[#This Row],[Price of One Product]],Table3[[#This Row],[No of Products in one Sale]])</f>
        <v>260</v>
      </c>
      <c r="K116" s="6">
        <f>Table3[[#This Row],[Actual Sale]]*(1-Table3[[#This Row],[Discount]])</f>
        <v>66.517542442118341</v>
      </c>
      <c r="L116" t="str">
        <f>TEXT(Table3[[#This Row],[Sale Date]],"dddd")</f>
        <v>Friday</v>
      </c>
    </row>
    <row r="117" spans="1:12" x14ac:dyDescent="0.3">
      <c r="A117" t="s">
        <v>140</v>
      </c>
      <c r="B117" t="s">
        <v>51</v>
      </c>
      <c r="C117" s="1">
        <v>44735</v>
      </c>
      <c r="D117" t="s">
        <v>59</v>
      </c>
      <c r="E117" t="s">
        <v>66</v>
      </c>
      <c r="F117">
        <v>72</v>
      </c>
      <c r="G117" t="s">
        <v>2</v>
      </c>
      <c r="H117" s="2">
        <v>8</v>
      </c>
      <c r="I117" s="3">
        <v>0.48484032292333201</v>
      </c>
      <c r="J117">
        <f>PRODUCT(Table3[[#This Row],[Price of One Product]],Table3[[#This Row],[No of Products in one Sale]])</f>
        <v>576</v>
      </c>
      <c r="K117" s="6">
        <f>Table3[[#This Row],[Actual Sale]]*(1-Table3[[#This Row],[Discount]])</f>
        <v>296.73197399616078</v>
      </c>
      <c r="L117" t="str">
        <f>TEXT(Table3[[#This Row],[Sale Date]],"dddd")</f>
        <v>Thursday</v>
      </c>
    </row>
    <row r="118" spans="1:12" x14ac:dyDescent="0.3">
      <c r="A118" t="s">
        <v>141</v>
      </c>
      <c r="B118" t="s">
        <v>52</v>
      </c>
      <c r="C118" s="1">
        <v>44734</v>
      </c>
      <c r="D118" t="s">
        <v>60</v>
      </c>
      <c r="E118" t="s">
        <v>66</v>
      </c>
      <c r="F118">
        <v>65</v>
      </c>
      <c r="G118" t="s">
        <v>0</v>
      </c>
      <c r="H118" s="2">
        <v>8</v>
      </c>
      <c r="I118" s="3">
        <v>0.10556900790048951</v>
      </c>
      <c r="J118">
        <f>PRODUCT(Table3[[#This Row],[Price of One Product]],Table3[[#This Row],[No of Products in one Sale]])</f>
        <v>520</v>
      </c>
      <c r="K118" s="6">
        <f>Table3[[#This Row],[Actual Sale]]*(1-Table3[[#This Row],[Discount]])</f>
        <v>465.10411589174544</v>
      </c>
      <c r="L118" t="str">
        <f>TEXT(Table3[[#This Row],[Sale Date]],"dddd")</f>
        <v>Wednesday</v>
      </c>
    </row>
    <row r="119" spans="1:12" x14ac:dyDescent="0.3">
      <c r="A119" t="s">
        <v>142</v>
      </c>
      <c r="B119" t="s">
        <v>53</v>
      </c>
      <c r="C119" s="1">
        <v>44728</v>
      </c>
      <c r="D119" t="s">
        <v>61</v>
      </c>
      <c r="E119" t="s">
        <v>66</v>
      </c>
      <c r="F119">
        <v>250</v>
      </c>
      <c r="G119" t="s">
        <v>1</v>
      </c>
      <c r="H119" s="2">
        <v>1</v>
      </c>
      <c r="I119" s="3">
        <v>0.35681327352398817</v>
      </c>
      <c r="J119">
        <f>PRODUCT(Table3[[#This Row],[Price of One Product]],Table3[[#This Row],[No of Products in one Sale]])</f>
        <v>250</v>
      </c>
      <c r="K119" s="6">
        <f>Table3[[#This Row],[Actual Sale]]*(1-Table3[[#This Row],[Discount]])</f>
        <v>160.79668161900295</v>
      </c>
      <c r="L119" t="str">
        <f>TEXT(Table3[[#This Row],[Sale Date]],"dddd")</f>
        <v>Thursday</v>
      </c>
    </row>
    <row r="120" spans="1:12" x14ac:dyDescent="0.3">
      <c r="A120" t="s">
        <v>143</v>
      </c>
      <c r="B120" t="s">
        <v>54</v>
      </c>
      <c r="C120" s="1">
        <v>44739</v>
      </c>
      <c r="D120" t="s">
        <v>62</v>
      </c>
      <c r="E120" t="s">
        <v>66</v>
      </c>
      <c r="F120">
        <v>130</v>
      </c>
      <c r="G120" t="s">
        <v>2</v>
      </c>
      <c r="H120" s="2">
        <v>2</v>
      </c>
      <c r="I120" s="3">
        <v>0.38966155247167111</v>
      </c>
      <c r="J120">
        <f>PRODUCT(Table3[[#This Row],[Price of One Product]],Table3[[#This Row],[No of Products in one Sale]])</f>
        <v>260</v>
      </c>
      <c r="K120" s="6">
        <f>Table3[[#This Row],[Actual Sale]]*(1-Table3[[#This Row],[Discount]])</f>
        <v>158.68799635736551</v>
      </c>
      <c r="L120" t="str">
        <f>TEXT(Table3[[#This Row],[Sale Date]],"dddd")</f>
        <v>Monday</v>
      </c>
    </row>
    <row r="121" spans="1:12" x14ac:dyDescent="0.3">
      <c r="A121" t="s">
        <v>144</v>
      </c>
      <c r="B121" t="s">
        <v>55</v>
      </c>
      <c r="C121" s="1">
        <v>44765</v>
      </c>
      <c r="D121" t="s">
        <v>63</v>
      </c>
      <c r="E121" t="s">
        <v>66</v>
      </c>
      <c r="F121">
        <v>60</v>
      </c>
      <c r="G121" t="s">
        <v>0</v>
      </c>
      <c r="H121" s="2">
        <v>6</v>
      </c>
      <c r="I121" s="3">
        <v>0.27342799854809485</v>
      </c>
      <c r="J121">
        <f>PRODUCT(Table3[[#This Row],[Price of One Product]],Table3[[#This Row],[No of Products in one Sale]])</f>
        <v>360</v>
      </c>
      <c r="K121" s="6">
        <f>Table3[[#This Row],[Actual Sale]]*(1-Table3[[#This Row],[Discount]])</f>
        <v>261.56592052268587</v>
      </c>
      <c r="L121" t="str">
        <f>TEXT(Table3[[#This Row],[Sale Date]],"dddd")</f>
        <v>Saturday</v>
      </c>
    </row>
    <row r="122" spans="1:12" x14ac:dyDescent="0.3">
      <c r="A122" t="s">
        <v>145</v>
      </c>
      <c r="B122" t="s">
        <v>51</v>
      </c>
      <c r="C122" s="1">
        <v>44740</v>
      </c>
      <c r="D122" t="s">
        <v>59</v>
      </c>
      <c r="E122" t="s">
        <v>66</v>
      </c>
      <c r="F122">
        <v>72</v>
      </c>
      <c r="G122" t="s">
        <v>1</v>
      </c>
      <c r="H122" s="2">
        <v>11</v>
      </c>
      <c r="I122" s="3">
        <v>0.68404340685026022</v>
      </c>
      <c r="J122">
        <f>PRODUCT(Table3[[#This Row],[Price of One Product]],Table3[[#This Row],[No of Products in one Sale]])</f>
        <v>792</v>
      </c>
      <c r="K122" s="6">
        <f>Table3[[#This Row],[Actual Sale]]*(1-Table3[[#This Row],[Discount]])</f>
        <v>250.23762177459392</v>
      </c>
      <c r="L122" t="str">
        <f>TEXT(Table3[[#This Row],[Sale Date]],"dddd")</f>
        <v>Tuesday</v>
      </c>
    </row>
    <row r="123" spans="1:12" x14ac:dyDescent="0.3">
      <c r="A123" t="s">
        <v>146</v>
      </c>
      <c r="B123" t="s">
        <v>52</v>
      </c>
      <c r="C123" s="1">
        <v>44734</v>
      </c>
      <c r="D123" t="s">
        <v>60</v>
      </c>
      <c r="E123" t="s">
        <v>66</v>
      </c>
      <c r="F123">
        <v>65</v>
      </c>
      <c r="G123" t="s">
        <v>2</v>
      </c>
      <c r="H123" s="2">
        <v>4</v>
      </c>
      <c r="I123" s="3">
        <v>0.30511671475159663</v>
      </c>
      <c r="J123">
        <f>PRODUCT(Table3[[#This Row],[Price of One Product]],Table3[[#This Row],[No of Products in one Sale]])</f>
        <v>260</v>
      </c>
      <c r="K123" s="6">
        <f>Table3[[#This Row],[Actual Sale]]*(1-Table3[[#This Row],[Discount]])</f>
        <v>180.66965416458487</v>
      </c>
      <c r="L123" t="str">
        <f>TEXT(Table3[[#This Row],[Sale Date]],"dddd")</f>
        <v>Wednesday</v>
      </c>
    </row>
    <row r="124" spans="1:12" x14ac:dyDescent="0.3">
      <c r="A124" t="s">
        <v>147</v>
      </c>
      <c r="B124" t="s">
        <v>53</v>
      </c>
      <c r="C124" s="1">
        <v>44727</v>
      </c>
      <c r="D124" t="s">
        <v>61</v>
      </c>
      <c r="E124" t="s">
        <v>67</v>
      </c>
      <c r="F124">
        <v>250</v>
      </c>
      <c r="G124" t="s">
        <v>0</v>
      </c>
      <c r="H124" s="2">
        <v>3</v>
      </c>
      <c r="I124" s="3">
        <v>0.26634683182511409</v>
      </c>
      <c r="J124">
        <f>PRODUCT(Table3[[#This Row],[Price of One Product]],Table3[[#This Row],[No of Products in one Sale]])</f>
        <v>750</v>
      </c>
      <c r="K124" s="6">
        <f>Table3[[#This Row],[Actual Sale]]*(1-Table3[[#This Row],[Discount]])</f>
        <v>550.23987613116446</v>
      </c>
      <c r="L124" t="str">
        <f>TEXT(Table3[[#This Row],[Sale Date]],"dddd")</f>
        <v>Wednesday</v>
      </c>
    </row>
    <row r="125" spans="1:12" x14ac:dyDescent="0.3">
      <c r="A125" t="s">
        <v>148</v>
      </c>
      <c r="B125" t="s">
        <v>54</v>
      </c>
      <c r="C125" s="1">
        <v>44737</v>
      </c>
      <c r="D125" t="s">
        <v>62</v>
      </c>
      <c r="E125" t="s">
        <v>66</v>
      </c>
      <c r="F125">
        <v>130</v>
      </c>
      <c r="G125" t="s">
        <v>1</v>
      </c>
      <c r="H125" s="2">
        <v>2</v>
      </c>
      <c r="I125" s="3">
        <v>0.95598379426073032</v>
      </c>
      <c r="J125">
        <f>PRODUCT(Table3[[#This Row],[Price of One Product]],Table3[[#This Row],[No of Products in one Sale]])</f>
        <v>260</v>
      </c>
      <c r="K125" s="6">
        <f>Table3[[#This Row],[Actual Sale]]*(1-Table3[[#This Row],[Discount]])</f>
        <v>11.444213492210116</v>
      </c>
      <c r="L125" t="str">
        <f>TEXT(Table3[[#This Row],[Sale Date]],"dddd")</f>
        <v>Saturday</v>
      </c>
    </row>
    <row r="126" spans="1:12" x14ac:dyDescent="0.3">
      <c r="A126" t="s">
        <v>149</v>
      </c>
      <c r="B126" t="s">
        <v>51</v>
      </c>
      <c r="C126" s="1">
        <v>44747</v>
      </c>
      <c r="D126" t="s">
        <v>59</v>
      </c>
      <c r="E126" t="s">
        <v>66</v>
      </c>
      <c r="F126">
        <v>72</v>
      </c>
      <c r="G126" t="s">
        <v>2</v>
      </c>
      <c r="H126" s="2">
        <v>3</v>
      </c>
      <c r="I126" s="3">
        <v>0.78465682989488972</v>
      </c>
      <c r="J126">
        <f>PRODUCT(Table3[[#This Row],[Price of One Product]],Table3[[#This Row],[No of Products in one Sale]])</f>
        <v>216</v>
      </c>
      <c r="K126" s="6">
        <f>Table3[[#This Row],[Actual Sale]]*(1-Table3[[#This Row],[Discount]])</f>
        <v>46.514124742703821</v>
      </c>
      <c r="L126" t="str">
        <f>TEXT(Table3[[#This Row],[Sale Date]],"dddd")</f>
        <v>Tuesday</v>
      </c>
    </row>
    <row r="127" spans="1:12" x14ac:dyDescent="0.3">
      <c r="A127" t="s">
        <v>150</v>
      </c>
      <c r="B127" t="s">
        <v>52</v>
      </c>
      <c r="C127" s="1">
        <v>44754</v>
      </c>
      <c r="D127" t="s">
        <v>60</v>
      </c>
      <c r="E127" t="s">
        <v>66</v>
      </c>
      <c r="F127">
        <v>65</v>
      </c>
      <c r="G127" t="s">
        <v>0</v>
      </c>
      <c r="H127" s="2">
        <v>4</v>
      </c>
      <c r="I127" s="3">
        <v>0.92531650826605816</v>
      </c>
      <c r="J127">
        <f>PRODUCT(Table3[[#This Row],[Price of One Product]],Table3[[#This Row],[No of Products in one Sale]])</f>
        <v>260</v>
      </c>
      <c r="K127" s="6">
        <f>Table3[[#This Row],[Actual Sale]]*(1-Table3[[#This Row],[Discount]])</f>
        <v>19.417707850824879</v>
      </c>
      <c r="L127" t="str">
        <f>TEXT(Table3[[#This Row],[Sale Date]],"dddd")</f>
        <v>Tuesday</v>
      </c>
    </row>
    <row r="128" spans="1:12" x14ac:dyDescent="0.3">
      <c r="A128" t="s">
        <v>151</v>
      </c>
      <c r="B128" t="s">
        <v>53</v>
      </c>
      <c r="C128" s="1">
        <v>44760</v>
      </c>
      <c r="D128" t="s">
        <v>61</v>
      </c>
      <c r="E128" t="s">
        <v>66</v>
      </c>
      <c r="F128">
        <v>250</v>
      </c>
      <c r="G128" t="s">
        <v>1</v>
      </c>
      <c r="H128" s="2">
        <v>3</v>
      </c>
      <c r="I128" s="3">
        <v>0.91314982692991542</v>
      </c>
      <c r="J128">
        <f>PRODUCT(Table3[[#This Row],[Price of One Product]],Table3[[#This Row],[No of Products in one Sale]])</f>
        <v>750</v>
      </c>
      <c r="K128" s="6">
        <f>Table3[[#This Row],[Actual Sale]]*(1-Table3[[#This Row],[Discount]])</f>
        <v>65.137629802563438</v>
      </c>
      <c r="L128" t="str">
        <f>TEXT(Table3[[#This Row],[Sale Date]],"dddd")</f>
        <v>Monday</v>
      </c>
    </row>
    <row r="129" spans="1:12" x14ac:dyDescent="0.3">
      <c r="A129" t="s">
        <v>152</v>
      </c>
      <c r="B129" t="s">
        <v>54</v>
      </c>
      <c r="C129" s="1">
        <v>44759</v>
      </c>
      <c r="D129" t="s">
        <v>62</v>
      </c>
      <c r="E129" t="s">
        <v>66</v>
      </c>
      <c r="F129">
        <v>130</v>
      </c>
      <c r="G129" t="s">
        <v>2</v>
      </c>
      <c r="H129" s="2">
        <v>2</v>
      </c>
      <c r="I129" s="3">
        <v>8.4586093307030152E-2</v>
      </c>
      <c r="J129">
        <f>PRODUCT(Table3[[#This Row],[Price of One Product]],Table3[[#This Row],[No of Products in one Sale]])</f>
        <v>260</v>
      </c>
      <c r="K129" s="6">
        <f>Table3[[#This Row],[Actual Sale]]*(1-Table3[[#This Row],[Discount]])</f>
        <v>238.00761574017216</v>
      </c>
      <c r="L129" t="str">
        <f>TEXT(Table3[[#This Row],[Sale Date]],"dddd")</f>
        <v>Sunday</v>
      </c>
    </row>
    <row r="130" spans="1:12" x14ac:dyDescent="0.3">
      <c r="A130" t="s">
        <v>153</v>
      </c>
      <c r="B130" t="s">
        <v>55</v>
      </c>
      <c r="C130" s="1">
        <v>44735</v>
      </c>
      <c r="D130" t="s">
        <v>63</v>
      </c>
      <c r="E130" t="s">
        <v>67</v>
      </c>
      <c r="F130">
        <v>60</v>
      </c>
      <c r="G130" t="s">
        <v>0</v>
      </c>
      <c r="H130" s="2">
        <v>7</v>
      </c>
      <c r="I130" s="3">
        <v>0.92983220282837542</v>
      </c>
      <c r="J130">
        <f>PRODUCT(Table3[[#This Row],[Price of One Product]],Table3[[#This Row],[No of Products in one Sale]])</f>
        <v>420</v>
      </c>
      <c r="K130" s="6">
        <f>Table3[[#This Row],[Actual Sale]]*(1-Table3[[#This Row],[Discount]])</f>
        <v>29.470474812082323</v>
      </c>
      <c r="L130" t="str">
        <f>TEXT(Table3[[#This Row],[Sale Date]],"dddd")</f>
        <v>Thursday</v>
      </c>
    </row>
    <row r="131" spans="1:12" x14ac:dyDescent="0.3">
      <c r="A131" t="s">
        <v>154</v>
      </c>
      <c r="B131" t="s">
        <v>56</v>
      </c>
      <c r="C131" s="1">
        <v>44734</v>
      </c>
      <c r="D131" t="s">
        <v>64</v>
      </c>
      <c r="E131" t="s">
        <v>66</v>
      </c>
      <c r="F131">
        <v>95</v>
      </c>
      <c r="G131" t="s">
        <v>1</v>
      </c>
      <c r="H131" s="2">
        <v>6</v>
      </c>
      <c r="I131" s="3">
        <v>0.13029960752667558</v>
      </c>
      <c r="J131">
        <f>PRODUCT(Table3[[#This Row],[Price of One Product]],Table3[[#This Row],[No of Products in one Sale]])</f>
        <v>570</v>
      </c>
      <c r="K131" s="6">
        <f>Table3[[#This Row],[Actual Sale]]*(1-Table3[[#This Row],[Discount]])</f>
        <v>495.72922370979489</v>
      </c>
      <c r="L131" t="str">
        <f>TEXT(Table3[[#This Row],[Sale Date]],"dddd")</f>
        <v>Wednesday</v>
      </c>
    </row>
    <row r="132" spans="1:12" x14ac:dyDescent="0.3">
      <c r="A132" t="s">
        <v>155</v>
      </c>
      <c r="B132" t="s">
        <v>51</v>
      </c>
      <c r="C132" s="1">
        <v>44753</v>
      </c>
      <c r="D132" t="s">
        <v>59</v>
      </c>
      <c r="E132" t="s">
        <v>66</v>
      </c>
      <c r="F132">
        <v>72</v>
      </c>
      <c r="G132" t="s">
        <v>2</v>
      </c>
      <c r="H132" s="2">
        <v>6</v>
      </c>
      <c r="I132" s="3">
        <v>0.41456728266200249</v>
      </c>
      <c r="J132">
        <f>PRODUCT(Table3[[#This Row],[Price of One Product]],Table3[[#This Row],[No of Products in one Sale]])</f>
        <v>432</v>
      </c>
      <c r="K132" s="6">
        <f>Table3[[#This Row],[Actual Sale]]*(1-Table3[[#This Row],[Discount]])</f>
        <v>252.90693389001493</v>
      </c>
      <c r="L132" t="str">
        <f>TEXT(Table3[[#This Row],[Sale Date]],"dddd")</f>
        <v>Monday</v>
      </c>
    </row>
    <row r="133" spans="1:12" x14ac:dyDescent="0.3">
      <c r="A133" t="s">
        <v>156</v>
      </c>
      <c r="B133" t="s">
        <v>52</v>
      </c>
      <c r="C133" s="1">
        <v>44739</v>
      </c>
      <c r="D133" t="s">
        <v>60</v>
      </c>
      <c r="E133" t="s">
        <v>66</v>
      </c>
      <c r="F133">
        <v>65</v>
      </c>
      <c r="G133" t="s">
        <v>0</v>
      </c>
      <c r="H133" s="2">
        <v>8</v>
      </c>
      <c r="I133" s="3">
        <v>0.77953807822657883</v>
      </c>
      <c r="J133">
        <f>PRODUCT(Table3[[#This Row],[Price of One Product]],Table3[[#This Row],[No of Products in one Sale]])</f>
        <v>520</v>
      </c>
      <c r="K133" s="6">
        <f>Table3[[#This Row],[Actual Sale]]*(1-Table3[[#This Row],[Discount]])</f>
        <v>114.640199322179</v>
      </c>
      <c r="L133" t="str">
        <f>TEXT(Table3[[#This Row],[Sale Date]],"dddd")</f>
        <v>Monday</v>
      </c>
    </row>
    <row r="134" spans="1:12" x14ac:dyDescent="0.3">
      <c r="A134" t="s">
        <v>157</v>
      </c>
      <c r="B134" t="s">
        <v>53</v>
      </c>
      <c r="C134" s="1">
        <v>44740</v>
      </c>
      <c r="D134" t="s">
        <v>61</v>
      </c>
      <c r="E134" t="s">
        <v>67</v>
      </c>
      <c r="F134">
        <v>250</v>
      </c>
      <c r="G134" t="s">
        <v>1</v>
      </c>
      <c r="H134" s="2">
        <v>3</v>
      </c>
      <c r="I134" s="3">
        <v>0.56602493379943331</v>
      </c>
      <c r="J134">
        <f>PRODUCT(Table3[[#This Row],[Price of One Product]],Table3[[#This Row],[No of Products in one Sale]])</f>
        <v>750</v>
      </c>
      <c r="K134" s="6">
        <f>Table3[[#This Row],[Actual Sale]]*(1-Table3[[#This Row],[Discount]])</f>
        <v>325.481299650425</v>
      </c>
      <c r="L134" t="str">
        <f>TEXT(Table3[[#This Row],[Sale Date]],"dddd")</f>
        <v>Tuesday</v>
      </c>
    </row>
    <row r="135" spans="1:12" x14ac:dyDescent="0.3">
      <c r="A135" t="s">
        <v>158</v>
      </c>
      <c r="B135" t="s">
        <v>54</v>
      </c>
      <c r="C135" s="1">
        <v>44748</v>
      </c>
      <c r="D135" t="s">
        <v>62</v>
      </c>
      <c r="E135" t="s">
        <v>67</v>
      </c>
      <c r="F135">
        <v>130</v>
      </c>
      <c r="G135" t="s">
        <v>2</v>
      </c>
      <c r="H135" s="2">
        <v>2</v>
      </c>
      <c r="I135" s="3">
        <v>0.7922771947085826</v>
      </c>
      <c r="J135">
        <f>PRODUCT(Table3[[#This Row],[Price of One Product]],Table3[[#This Row],[No of Products in one Sale]])</f>
        <v>260</v>
      </c>
      <c r="K135" s="6">
        <f>Table3[[#This Row],[Actual Sale]]*(1-Table3[[#This Row],[Discount]])</f>
        <v>54.007929375768526</v>
      </c>
      <c r="L135" t="str">
        <f>TEXT(Table3[[#This Row],[Sale Date]],"dddd")</f>
        <v>Wednesday</v>
      </c>
    </row>
    <row r="136" spans="1:12" x14ac:dyDescent="0.3">
      <c r="A136" t="s">
        <v>159</v>
      </c>
      <c r="B136" t="s">
        <v>51</v>
      </c>
      <c r="C136" s="1">
        <v>44731</v>
      </c>
      <c r="D136" t="s">
        <v>59</v>
      </c>
      <c r="E136" t="s">
        <v>67</v>
      </c>
      <c r="F136">
        <v>72</v>
      </c>
      <c r="G136" t="s">
        <v>0</v>
      </c>
      <c r="H136" s="2">
        <v>9</v>
      </c>
      <c r="I136" s="3">
        <v>9.6806596410280221E-2</v>
      </c>
      <c r="J136">
        <f>PRODUCT(Table3[[#This Row],[Price of One Product]],Table3[[#This Row],[No of Products in one Sale]])</f>
        <v>648</v>
      </c>
      <c r="K136" s="6">
        <f>Table3[[#This Row],[Actual Sale]]*(1-Table3[[#This Row],[Discount]])</f>
        <v>585.26932552613846</v>
      </c>
      <c r="L136" t="str">
        <f>TEXT(Table3[[#This Row],[Sale Date]],"dddd")</f>
        <v>Sunday</v>
      </c>
    </row>
    <row r="137" spans="1:12" x14ac:dyDescent="0.3">
      <c r="A137" t="s">
        <v>160</v>
      </c>
      <c r="B137" t="s">
        <v>52</v>
      </c>
      <c r="C137" s="1">
        <v>44763</v>
      </c>
      <c r="D137" t="s">
        <v>60</v>
      </c>
      <c r="E137" t="s">
        <v>67</v>
      </c>
      <c r="F137">
        <v>65</v>
      </c>
      <c r="G137" t="s">
        <v>1</v>
      </c>
      <c r="H137" s="2">
        <v>8</v>
      </c>
      <c r="I137" s="3">
        <v>0.10738058788365801</v>
      </c>
      <c r="J137">
        <f>PRODUCT(Table3[[#This Row],[Price of One Product]],Table3[[#This Row],[No of Products in one Sale]])</f>
        <v>520</v>
      </c>
      <c r="K137" s="6">
        <f>Table3[[#This Row],[Actual Sale]]*(1-Table3[[#This Row],[Discount]])</f>
        <v>464.16209430049781</v>
      </c>
      <c r="L137" t="str">
        <f>TEXT(Table3[[#This Row],[Sale Date]],"dddd")</f>
        <v>Thursday</v>
      </c>
    </row>
    <row r="138" spans="1:12" x14ac:dyDescent="0.3">
      <c r="A138" t="s">
        <v>161</v>
      </c>
      <c r="B138" t="s">
        <v>53</v>
      </c>
      <c r="C138" s="1">
        <v>44733</v>
      </c>
      <c r="D138" t="s">
        <v>61</v>
      </c>
      <c r="E138" t="s">
        <v>67</v>
      </c>
      <c r="F138">
        <v>250</v>
      </c>
      <c r="G138" t="s">
        <v>2</v>
      </c>
      <c r="H138" s="2">
        <v>1</v>
      </c>
      <c r="I138" s="3">
        <v>0.68298720032284699</v>
      </c>
      <c r="J138">
        <f>PRODUCT(Table3[[#This Row],[Price of One Product]],Table3[[#This Row],[No of Products in one Sale]])</f>
        <v>250</v>
      </c>
      <c r="K138" s="6">
        <f>Table3[[#This Row],[Actual Sale]]*(1-Table3[[#This Row],[Discount]])</f>
        <v>79.253199919288249</v>
      </c>
      <c r="L138" t="str">
        <f>TEXT(Table3[[#This Row],[Sale Date]],"dddd")</f>
        <v>Tuesday</v>
      </c>
    </row>
    <row r="139" spans="1:12" x14ac:dyDescent="0.3">
      <c r="A139" t="s">
        <v>162</v>
      </c>
      <c r="B139" t="s">
        <v>54</v>
      </c>
      <c r="C139" s="1">
        <v>44746</v>
      </c>
      <c r="D139" t="s">
        <v>62</v>
      </c>
      <c r="E139" t="s">
        <v>67</v>
      </c>
      <c r="F139">
        <v>130</v>
      </c>
      <c r="G139" t="s">
        <v>0</v>
      </c>
      <c r="H139" s="2">
        <v>2</v>
      </c>
      <c r="I139" s="3">
        <v>8.8476327566971991E-2</v>
      </c>
      <c r="J139">
        <f>PRODUCT(Table3[[#This Row],[Price of One Product]],Table3[[#This Row],[No of Products in one Sale]])</f>
        <v>260</v>
      </c>
      <c r="K139" s="6">
        <f>Table3[[#This Row],[Actual Sale]]*(1-Table3[[#This Row],[Discount]])</f>
        <v>236.99615483258728</v>
      </c>
      <c r="L139" t="str">
        <f>TEXT(Table3[[#This Row],[Sale Date]],"dddd")</f>
        <v>Monday</v>
      </c>
    </row>
    <row r="140" spans="1:12" x14ac:dyDescent="0.3">
      <c r="A140" t="s">
        <v>163</v>
      </c>
      <c r="B140" t="s">
        <v>51</v>
      </c>
      <c r="C140" s="1">
        <v>44755</v>
      </c>
      <c r="D140" t="s">
        <v>59</v>
      </c>
      <c r="E140" t="s">
        <v>66</v>
      </c>
      <c r="F140">
        <v>72</v>
      </c>
      <c r="G140" t="s">
        <v>0</v>
      </c>
      <c r="H140" s="2">
        <v>9</v>
      </c>
      <c r="I140" s="3">
        <v>0.12263076179640997</v>
      </c>
      <c r="J140">
        <f>PRODUCT(Table3[[#This Row],[Price of One Product]],Table3[[#This Row],[No of Products in one Sale]])</f>
        <v>648</v>
      </c>
      <c r="K140" s="6">
        <f>Table3[[#This Row],[Actual Sale]]*(1-Table3[[#This Row],[Discount]])</f>
        <v>568.5352663559263</v>
      </c>
      <c r="L140" t="str">
        <f>TEXT(Table3[[#This Row],[Sale Date]],"dddd")</f>
        <v>Wednesday</v>
      </c>
    </row>
    <row r="141" spans="1:12" x14ac:dyDescent="0.3">
      <c r="A141" t="s">
        <v>164</v>
      </c>
      <c r="B141" t="s">
        <v>52</v>
      </c>
      <c r="C141" s="1">
        <v>44755</v>
      </c>
      <c r="D141" t="s">
        <v>60</v>
      </c>
      <c r="E141" t="s">
        <v>67</v>
      </c>
      <c r="F141">
        <v>65</v>
      </c>
      <c r="G141" t="s">
        <v>1</v>
      </c>
      <c r="H141" s="2">
        <v>7</v>
      </c>
      <c r="I141" s="3">
        <v>0.21348123854438894</v>
      </c>
      <c r="J141">
        <f>PRODUCT(Table3[[#This Row],[Price of One Product]],Table3[[#This Row],[No of Products in one Sale]])</f>
        <v>455</v>
      </c>
      <c r="K141" s="6">
        <f>Table3[[#This Row],[Actual Sale]]*(1-Table3[[#This Row],[Discount]])</f>
        <v>357.86603646230304</v>
      </c>
      <c r="L141" t="str">
        <f>TEXT(Table3[[#This Row],[Sale Date]],"dddd")</f>
        <v>Wednesday</v>
      </c>
    </row>
    <row r="142" spans="1:12" x14ac:dyDescent="0.3">
      <c r="A142" t="s">
        <v>165</v>
      </c>
      <c r="B142" t="s">
        <v>53</v>
      </c>
      <c r="C142" s="1">
        <v>44727</v>
      </c>
      <c r="D142" t="s">
        <v>61</v>
      </c>
      <c r="E142" t="s">
        <v>66</v>
      </c>
      <c r="F142">
        <v>250</v>
      </c>
      <c r="G142" t="s">
        <v>2</v>
      </c>
      <c r="H142" s="2">
        <v>3</v>
      </c>
      <c r="I142" s="3">
        <v>0.51777110877083832</v>
      </c>
      <c r="J142">
        <f>PRODUCT(Table3[[#This Row],[Price of One Product]],Table3[[#This Row],[No of Products in one Sale]])</f>
        <v>750</v>
      </c>
      <c r="K142" s="6">
        <f>Table3[[#This Row],[Actual Sale]]*(1-Table3[[#This Row],[Discount]])</f>
        <v>361.67166842187129</v>
      </c>
      <c r="L142" t="str">
        <f>TEXT(Table3[[#This Row],[Sale Date]],"dddd")</f>
        <v>Wednesday</v>
      </c>
    </row>
    <row r="143" spans="1:12" x14ac:dyDescent="0.3">
      <c r="A143" t="s">
        <v>166</v>
      </c>
      <c r="B143" t="s">
        <v>54</v>
      </c>
      <c r="C143" s="1">
        <v>44746</v>
      </c>
      <c r="D143" t="s">
        <v>62</v>
      </c>
      <c r="E143" t="s">
        <v>67</v>
      </c>
      <c r="F143">
        <v>130</v>
      </c>
      <c r="G143" t="s">
        <v>0</v>
      </c>
      <c r="H143" s="2">
        <v>3</v>
      </c>
      <c r="I143" s="3">
        <v>0.2471412366587864</v>
      </c>
      <c r="J143">
        <f>PRODUCT(Table3[[#This Row],[Price of One Product]],Table3[[#This Row],[No of Products in one Sale]])</f>
        <v>390</v>
      </c>
      <c r="K143" s="6">
        <f>Table3[[#This Row],[Actual Sale]]*(1-Table3[[#This Row],[Discount]])</f>
        <v>293.61491770307333</v>
      </c>
      <c r="L143" t="str">
        <f>TEXT(Table3[[#This Row],[Sale Date]],"dddd")</f>
        <v>Monday</v>
      </c>
    </row>
    <row r="144" spans="1:12" x14ac:dyDescent="0.3">
      <c r="A144" t="s">
        <v>167</v>
      </c>
      <c r="B144" t="s">
        <v>51</v>
      </c>
      <c r="C144" s="1">
        <v>44740</v>
      </c>
      <c r="D144" t="s">
        <v>59</v>
      </c>
      <c r="E144" t="s">
        <v>66</v>
      </c>
      <c r="F144">
        <v>72</v>
      </c>
      <c r="G144" t="s">
        <v>1</v>
      </c>
      <c r="H144" s="2">
        <v>4</v>
      </c>
      <c r="I144" s="3">
        <v>0.74108890181243625</v>
      </c>
      <c r="J144">
        <f>PRODUCT(Table3[[#This Row],[Price of One Product]],Table3[[#This Row],[No of Products in one Sale]])</f>
        <v>288</v>
      </c>
      <c r="K144" s="6">
        <f>Table3[[#This Row],[Actual Sale]]*(1-Table3[[#This Row],[Discount]])</f>
        <v>74.56639627801836</v>
      </c>
      <c r="L144" t="str">
        <f>TEXT(Table3[[#This Row],[Sale Date]],"dddd")</f>
        <v>Tuesday</v>
      </c>
    </row>
    <row r="145" spans="1:12" x14ac:dyDescent="0.3">
      <c r="A145" t="s">
        <v>168</v>
      </c>
      <c r="B145" t="s">
        <v>52</v>
      </c>
      <c r="C145" s="1">
        <v>44743</v>
      </c>
      <c r="D145" t="s">
        <v>60</v>
      </c>
      <c r="E145" t="s">
        <v>67</v>
      </c>
      <c r="F145">
        <v>65</v>
      </c>
      <c r="G145" t="s">
        <v>2</v>
      </c>
      <c r="H145" s="2">
        <v>5</v>
      </c>
      <c r="I145" s="3">
        <v>0.7589550474918334</v>
      </c>
      <c r="J145">
        <f>PRODUCT(Table3[[#This Row],[Price of One Product]],Table3[[#This Row],[No of Products in one Sale]])</f>
        <v>325</v>
      </c>
      <c r="K145" s="6">
        <f>Table3[[#This Row],[Actual Sale]]*(1-Table3[[#This Row],[Discount]])</f>
        <v>78.339609565154149</v>
      </c>
      <c r="L145" t="str">
        <f>TEXT(Table3[[#This Row],[Sale Date]],"dddd")</f>
        <v>Friday</v>
      </c>
    </row>
    <row r="146" spans="1:12" x14ac:dyDescent="0.3">
      <c r="A146" t="s">
        <v>169</v>
      </c>
      <c r="B146" t="s">
        <v>53</v>
      </c>
      <c r="C146" s="1">
        <v>44737</v>
      </c>
      <c r="D146" t="s">
        <v>61</v>
      </c>
      <c r="E146" t="s">
        <v>66</v>
      </c>
      <c r="F146">
        <v>250</v>
      </c>
      <c r="G146" t="s">
        <v>0</v>
      </c>
      <c r="H146" s="2">
        <v>4</v>
      </c>
      <c r="I146" s="3">
        <v>0.39519452416647527</v>
      </c>
      <c r="J146">
        <f>PRODUCT(Table3[[#This Row],[Price of One Product]],Table3[[#This Row],[No of Products in one Sale]])</f>
        <v>1000</v>
      </c>
      <c r="K146" s="6">
        <f>Table3[[#This Row],[Actual Sale]]*(1-Table3[[#This Row],[Discount]])</f>
        <v>604.80547583352472</v>
      </c>
      <c r="L146" t="str">
        <f>TEXT(Table3[[#This Row],[Sale Date]],"dddd")</f>
        <v>Saturday</v>
      </c>
    </row>
    <row r="147" spans="1:12" x14ac:dyDescent="0.3">
      <c r="A147" t="s">
        <v>170</v>
      </c>
      <c r="B147" t="s">
        <v>54</v>
      </c>
      <c r="C147" s="1">
        <v>44757</v>
      </c>
      <c r="D147" t="s">
        <v>62</v>
      </c>
      <c r="E147" t="s">
        <v>67</v>
      </c>
      <c r="F147">
        <v>130</v>
      </c>
      <c r="G147" t="s">
        <v>1</v>
      </c>
      <c r="H147" s="2">
        <v>5</v>
      </c>
      <c r="I147" s="3">
        <v>2.5857814158937731E-2</v>
      </c>
      <c r="J147">
        <f>PRODUCT(Table3[[#This Row],[Price of One Product]],Table3[[#This Row],[No of Products in one Sale]])</f>
        <v>650</v>
      </c>
      <c r="K147" s="6">
        <f>Table3[[#This Row],[Actual Sale]]*(1-Table3[[#This Row],[Discount]])</f>
        <v>633.1924207966905</v>
      </c>
      <c r="L147" t="str">
        <f>TEXT(Table3[[#This Row],[Sale Date]],"dddd")</f>
        <v>Friday</v>
      </c>
    </row>
    <row r="148" spans="1:12" x14ac:dyDescent="0.3">
      <c r="A148" t="s">
        <v>171</v>
      </c>
      <c r="B148" t="s">
        <v>55</v>
      </c>
      <c r="C148" s="1">
        <v>44745</v>
      </c>
      <c r="D148" t="s">
        <v>63</v>
      </c>
      <c r="E148" t="s">
        <v>66</v>
      </c>
      <c r="F148">
        <v>60</v>
      </c>
      <c r="G148" t="s">
        <v>2</v>
      </c>
      <c r="H148" s="2">
        <v>10</v>
      </c>
      <c r="I148" s="3">
        <v>0.35224195755599907</v>
      </c>
      <c r="J148">
        <f>PRODUCT(Table3[[#This Row],[Price of One Product]],Table3[[#This Row],[No of Products in one Sale]])</f>
        <v>600</v>
      </c>
      <c r="K148" s="6">
        <f>Table3[[#This Row],[Actual Sale]]*(1-Table3[[#This Row],[Discount]])</f>
        <v>388.65482546640055</v>
      </c>
      <c r="L148" t="str">
        <f>TEXT(Table3[[#This Row],[Sale Date]],"dddd")</f>
        <v>Sunday</v>
      </c>
    </row>
    <row r="149" spans="1:12" x14ac:dyDescent="0.3">
      <c r="A149" t="s">
        <v>172</v>
      </c>
      <c r="B149" t="s">
        <v>51</v>
      </c>
      <c r="C149" s="1">
        <v>44760</v>
      </c>
      <c r="D149" t="s">
        <v>59</v>
      </c>
      <c r="E149" t="s">
        <v>67</v>
      </c>
      <c r="F149">
        <v>72</v>
      </c>
      <c r="G149" t="s">
        <v>0</v>
      </c>
      <c r="H149" s="2">
        <v>12</v>
      </c>
      <c r="I149" s="3">
        <v>4.2934737769464881E-2</v>
      </c>
      <c r="J149">
        <f>PRODUCT(Table3[[#This Row],[Price of One Product]],Table3[[#This Row],[No of Products in one Sale]])</f>
        <v>864</v>
      </c>
      <c r="K149" s="6">
        <f>Table3[[#This Row],[Actual Sale]]*(1-Table3[[#This Row],[Discount]])</f>
        <v>826.90438656718231</v>
      </c>
      <c r="L149" t="str">
        <f>TEXT(Table3[[#This Row],[Sale Date]],"dddd")</f>
        <v>Monday</v>
      </c>
    </row>
    <row r="150" spans="1:12" x14ac:dyDescent="0.3">
      <c r="A150" t="s">
        <v>173</v>
      </c>
      <c r="B150" t="s">
        <v>52</v>
      </c>
      <c r="C150" s="1">
        <v>44750</v>
      </c>
      <c r="D150" t="s">
        <v>60</v>
      </c>
      <c r="E150" t="s">
        <v>66</v>
      </c>
      <c r="F150">
        <v>65</v>
      </c>
      <c r="G150" t="s">
        <v>1</v>
      </c>
      <c r="H150" s="2">
        <v>12</v>
      </c>
      <c r="I150" s="3">
        <v>6.8824781708392013E-3</v>
      </c>
      <c r="J150">
        <f>PRODUCT(Table3[[#This Row],[Price of One Product]],Table3[[#This Row],[No of Products in one Sale]])</f>
        <v>780</v>
      </c>
      <c r="K150" s="6">
        <f>Table3[[#This Row],[Actual Sale]]*(1-Table3[[#This Row],[Discount]])</f>
        <v>774.63166702674539</v>
      </c>
      <c r="L150" t="str">
        <f>TEXT(Table3[[#This Row],[Sale Date]],"dddd")</f>
        <v>Friday</v>
      </c>
    </row>
    <row r="151" spans="1:12" x14ac:dyDescent="0.3">
      <c r="A151" t="s">
        <v>174</v>
      </c>
      <c r="B151" t="s">
        <v>53</v>
      </c>
      <c r="C151" s="1">
        <v>44742</v>
      </c>
      <c r="D151" t="s">
        <v>61</v>
      </c>
      <c r="E151" t="s">
        <v>67</v>
      </c>
      <c r="F151">
        <v>250</v>
      </c>
      <c r="G151" t="s">
        <v>2</v>
      </c>
      <c r="H151" s="2">
        <v>1</v>
      </c>
      <c r="I151" s="3">
        <v>0.8553400747255635</v>
      </c>
      <c r="J151">
        <f>PRODUCT(Table3[[#This Row],[Price of One Product]],Table3[[#This Row],[No of Products in one Sale]])</f>
        <v>250</v>
      </c>
      <c r="K151" s="6">
        <f>Table3[[#This Row],[Actual Sale]]*(1-Table3[[#This Row],[Discount]])</f>
        <v>36.164981318609122</v>
      </c>
      <c r="L151" t="str">
        <f>TEXT(Table3[[#This Row],[Sale Date]],"dddd")</f>
        <v>Thursday</v>
      </c>
    </row>
    <row r="152" spans="1:12" x14ac:dyDescent="0.3">
      <c r="A152" t="s">
        <v>175</v>
      </c>
      <c r="B152" t="s">
        <v>54</v>
      </c>
      <c r="C152" s="1">
        <v>44754</v>
      </c>
      <c r="D152" t="s">
        <v>62</v>
      </c>
      <c r="E152" t="s">
        <v>66</v>
      </c>
      <c r="F152">
        <v>130</v>
      </c>
      <c r="G152" t="s">
        <v>0</v>
      </c>
      <c r="H152" s="2">
        <v>6</v>
      </c>
      <c r="I152" s="3">
        <v>0.62107648533214554</v>
      </c>
      <c r="J152">
        <f>PRODUCT(Table3[[#This Row],[Price of One Product]],Table3[[#This Row],[No of Products in one Sale]])</f>
        <v>780</v>
      </c>
      <c r="K152" s="6">
        <f>Table3[[#This Row],[Actual Sale]]*(1-Table3[[#This Row],[Discount]])</f>
        <v>295.56034144092649</v>
      </c>
      <c r="L152" t="str">
        <f>TEXT(Table3[[#This Row],[Sale Date]],"dddd")</f>
        <v>Tuesday</v>
      </c>
    </row>
    <row r="153" spans="1:12" x14ac:dyDescent="0.3">
      <c r="A153" t="s">
        <v>176</v>
      </c>
      <c r="B153" t="s">
        <v>51</v>
      </c>
      <c r="C153" s="1">
        <v>44746</v>
      </c>
      <c r="D153" t="s">
        <v>59</v>
      </c>
      <c r="E153" t="s">
        <v>67</v>
      </c>
      <c r="F153">
        <v>72</v>
      </c>
      <c r="G153" t="s">
        <v>1</v>
      </c>
      <c r="H153" s="2">
        <v>3</v>
      </c>
      <c r="I153" s="3">
        <v>0.93819201157518672</v>
      </c>
      <c r="J153">
        <f>PRODUCT(Table3[[#This Row],[Price of One Product]],Table3[[#This Row],[No of Products in one Sale]])</f>
        <v>216</v>
      </c>
      <c r="K153" s="6">
        <f>Table3[[#This Row],[Actual Sale]]*(1-Table3[[#This Row],[Discount]])</f>
        <v>13.350525499759668</v>
      </c>
      <c r="L153" t="str">
        <f>TEXT(Table3[[#This Row],[Sale Date]],"dddd")</f>
        <v>Monday</v>
      </c>
    </row>
    <row r="154" spans="1:12" x14ac:dyDescent="0.3">
      <c r="A154" t="s">
        <v>177</v>
      </c>
      <c r="B154" t="s">
        <v>52</v>
      </c>
      <c r="C154" s="1">
        <v>44752</v>
      </c>
      <c r="D154" t="s">
        <v>60</v>
      </c>
      <c r="E154" t="s">
        <v>66</v>
      </c>
      <c r="F154">
        <v>65</v>
      </c>
      <c r="G154" t="s">
        <v>2</v>
      </c>
      <c r="H154" s="2">
        <v>12</v>
      </c>
      <c r="I154" s="3">
        <v>0.97731506347213748</v>
      </c>
      <c r="J154">
        <f>PRODUCT(Table3[[#This Row],[Price of One Product]],Table3[[#This Row],[No of Products in one Sale]])</f>
        <v>780</v>
      </c>
      <c r="K154" s="6">
        <f>Table3[[#This Row],[Actual Sale]]*(1-Table3[[#This Row],[Discount]])</f>
        <v>17.694250491732767</v>
      </c>
      <c r="L154" t="str">
        <f>TEXT(Table3[[#This Row],[Sale Date]],"dddd")</f>
        <v>Sunday</v>
      </c>
    </row>
    <row r="155" spans="1:12" x14ac:dyDescent="0.3">
      <c r="A155" t="s">
        <v>178</v>
      </c>
      <c r="B155" t="s">
        <v>53</v>
      </c>
      <c r="C155" s="1">
        <v>44725</v>
      </c>
      <c r="D155" t="s">
        <v>61</v>
      </c>
      <c r="E155" t="s">
        <v>67</v>
      </c>
      <c r="F155">
        <v>250</v>
      </c>
      <c r="G155" t="s">
        <v>0</v>
      </c>
      <c r="H155" s="2">
        <v>3</v>
      </c>
      <c r="I155" s="3">
        <v>0.93618769203099483</v>
      </c>
      <c r="J155">
        <f>PRODUCT(Table3[[#This Row],[Price of One Product]],Table3[[#This Row],[No of Products in one Sale]])</f>
        <v>750</v>
      </c>
      <c r="K155" s="6">
        <f>Table3[[#This Row],[Actual Sale]]*(1-Table3[[#This Row],[Discount]])</f>
        <v>47.859230976753878</v>
      </c>
      <c r="L155" t="str">
        <f>TEXT(Table3[[#This Row],[Sale Date]],"dddd")</f>
        <v>Monday</v>
      </c>
    </row>
    <row r="156" spans="1:12" x14ac:dyDescent="0.3">
      <c r="A156" t="s">
        <v>179</v>
      </c>
      <c r="B156" t="s">
        <v>54</v>
      </c>
      <c r="C156" s="1">
        <v>44734</v>
      </c>
      <c r="D156" t="s">
        <v>62</v>
      </c>
      <c r="E156" t="s">
        <v>66</v>
      </c>
      <c r="F156">
        <v>130</v>
      </c>
      <c r="G156" t="s">
        <v>1</v>
      </c>
      <c r="H156" s="2">
        <v>5</v>
      </c>
      <c r="I156" s="3">
        <v>0.92747059451906588</v>
      </c>
      <c r="J156">
        <f>PRODUCT(Table3[[#This Row],[Price of One Product]],Table3[[#This Row],[No of Products in one Sale]])</f>
        <v>650</v>
      </c>
      <c r="K156" s="6">
        <f>Table3[[#This Row],[Actual Sale]]*(1-Table3[[#This Row],[Discount]])</f>
        <v>47.144113562607174</v>
      </c>
      <c r="L156" t="str">
        <f>TEXT(Table3[[#This Row],[Sale Date]],"dddd")</f>
        <v>Wednesday</v>
      </c>
    </row>
    <row r="157" spans="1:12" x14ac:dyDescent="0.3">
      <c r="A157" t="s">
        <v>180</v>
      </c>
      <c r="B157" t="s">
        <v>55</v>
      </c>
      <c r="C157" s="1">
        <v>44761</v>
      </c>
      <c r="D157" t="s">
        <v>63</v>
      </c>
      <c r="E157" t="s">
        <v>66</v>
      </c>
      <c r="F157">
        <v>60</v>
      </c>
      <c r="G157" t="s">
        <v>2</v>
      </c>
      <c r="H157" s="2">
        <v>8</v>
      </c>
      <c r="I157" s="3">
        <v>9.8331104648150314E-2</v>
      </c>
      <c r="J157">
        <f>PRODUCT(Table3[[#This Row],[Price of One Product]],Table3[[#This Row],[No of Products in one Sale]])</f>
        <v>480</v>
      </c>
      <c r="K157" s="6">
        <f>Table3[[#This Row],[Actual Sale]]*(1-Table3[[#This Row],[Discount]])</f>
        <v>432.80106976888783</v>
      </c>
      <c r="L157" t="str">
        <f>TEXT(Table3[[#This Row],[Sale Date]],"dddd")</f>
        <v>Tuesday</v>
      </c>
    </row>
    <row r="158" spans="1:12" x14ac:dyDescent="0.3">
      <c r="A158" t="s">
        <v>181</v>
      </c>
      <c r="B158" t="s">
        <v>56</v>
      </c>
      <c r="C158" s="1">
        <v>44735</v>
      </c>
      <c r="D158" t="s">
        <v>64</v>
      </c>
      <c r="E158" t="s">
        <v>67</v>
      </c>
      <c r="F158">
        <v>95</v>
      </c>
      <c r="G158" t="s">
        <v>0</v>
      </c>
      <c r="H158" s="2">
        <v>5</v>
      </c>
      <c r="I158" s="3">
        <v>4.5012478047171678E-3</v>
      </c>
      <c r="J158">
        <f>PRODUCT(Table3[[#This Row],[Price of One Product]],Table3[[#This Row],[No of Products in one Sale]])</f>
        <v>475</v>
      </c>
      <c r="K158" s="6">
        <f>Table3[[#This Row],[Actual Sale]]*(1-Table3[[#This Row],[Discount]])</f>
        <v>472.86190729275933</v>
      </c>
      <c r="L158" t="str">
        <f>TEXT(Table3[[#This Row],[Sale Date]],"dddd")</f>
        <v>Thursday</v>
      </c>
    </row>
    <row r="159" spans="1:12" x14ac:dyDescent="0.3">
      <c r="A159" t="s">
        <v>182</v>
      </c>
      <c r="B159" t="s">
        <v>51</v>
      </c>
      <c r="C159" s="1">
        <v>44753</v>
      </c>
      <c r="D159" t="s">
        <v>59</v>
      </c>
      <c r="E159" t="s">
        <v>67</v>
      </c>
      <c r="F159">
        <v>72</v>
      </c>
      <c r="G159" t="s">
        <v>1</v>
      </c>
      <c r="H159" s="2">
        <v>9</v>
      </c>
      <c r="I159" s="3">
        <v>0.22169192366246837</v>
      </c>
      <c r="J159">
        <f>PRODUCT(Table3[[#This Row],[Price of One Product]],Table3[[#This Row],[No of Products in one Sale]])</f>
        <v>648</v>
      </c>
      <c r="K159" s="6">
        <f>Table3[[#This Row],[Actual Sale]]*(1-Table3[[#This Row],[Discount]])</f>
        <v>504.34363346672052</v>
      </c>
      <c r="L159" t="str">
        <f>TEXT(Table3[[#This Row],[Sale Date]],"dddd")</f>
        <v>Monday</v>
      </c>
    </row>
    <row r="160" spans="1:12" x14ac:dyDescent="0.3">
      <c r="A160" t="s">
        <v>183</v>
      </c>
      <c r="B160" t="s">
        <v>52</v>
      </c>
      <c r="C160" s="1">
        <v>44732</v>
      </c>
      <c r="D160" t="s">
        <v>60</v>
      </c>
      <c r="E160" t="s">
        <v>67</v>
      </c>
      <c r="F160">
        <v>65</v>
      </c>
      <c r="G160" t="s">
        <v>2</v>
      </c>
      <c r="H160" s="2">
        <v>6</v>
      </c>
      <c r="I160" s="3">
        <v>0.91624709117858605</v>
      </c>
      <c r="J160">
        <f>PRODUCT(Table3[[#This Row],[Price of One Product]],Table3[[#This Row],[No of Products in one Sale]])</f>
        <v>390</v>
      </c>
      <c r="K160" s="6">
        <f>Table3[[#This Row],[Actual Sale]]*(1-Table3[[#This Row],[Discount]])</f>
        <v>32.663634440351444</v>
      </c>
      <c r="L160" t="str">
        <f>TEXT(Table3[[#This Row],[Sale Date]],"dddd")</f>
        <v>Monday</v>
      </c>
    </row>
    <row r="161" spans="1:12" x14ac:dyDescent="0.3">
      <c r="A161" t="s">
        <v>184</v>
      </c>
      <c r="B161" t="s">
        <v>53</v>
      </c>
      <c r="C161" s="1">
        <v>44748</v>
      </c>
      <c r="D161" t="s">
        <v>61</v>
      </c>
      <c r="E161" t="s">
        <v>66</v>
      </c>
      <c r="F161">
        <v>250</v>
      </c>
      <c r="G161" t="s">
        <v>0</v>
      </c>
      <c r="H161" s="2">
        <v>3</v>
      </c>
      <c r="I161" s="3">
        <v>0.61362516317019966</v>
      </c>
      <c r="J161">
        <f>PRODUCT(Table3[[#This Row],[Price of One Product]],Table3[[#This Row],[No of Products in one Sale]])</f>
        <v>750</v>
      </c>
      <c r="K161" s="6">
        <f>Table3[[#This Row],[Actual Sale]]*(1-Table3[[#This Row],[Discount]])</f>
        <v>289.78112762235025</v>
      </c>
      <c r="L161" t="str">
        <f>TEXT(Table3[[#This Row],[Sale Date]],"dddd")</f>
        <v>Wednesday</v>
      </c>
    </row>
    <row r="162" spans="1:12" x14ac:dyDescent="0.3">
      <c r="A162" t="s">
        <v>185</v>
      </c>
      <c r="B162" t="s">
        <v>54</v>
      </c>
      <c r="C162" s="1">
        <v>44731</v>
      </c>
      <c r="D162" t="s">
        <v>62</v>
      </c>
      <c r="E162" t="s">
        <v>66</v>
      </c>
      <c r="F162">
        <v>130</v>
      </c>
      <c r="G162" t="s">
        <v>1</v>
      </c>
      <c r="H162" s="2">
        <v>4</v>
      </c>
      <c r="I162" s="3">
        <v>0.81572623665656485</v>
      </c>
      <c r="J162">
        <f>PRODUCT(Table3[[#This Row],[Price of One Product]],Table3[[#This Row],[No of Products in one Sale]])</f>
        <v>520</v>
      </c>
      <c r="K162" s="6">
        <f>Table3[[#This Row],[Actual Sale]]*(1-Table3[[#This Row],[Discount]])</f>
        <v>95.822356938586282</v>
      </c>
      <c r="L162" t="str">
        <f>TEXT(Table3[[#This Row],[Sale Date]],"dddd")</f>
        <v>Sunday</v>
      </c>
    </row>
    <row r="163" spans="1:12" x14ac:dyDescent="0.3">
      <c r="A163" t="s">
        <v>186</v>
      </c>
      <c r="B163" t="s">
        <v>51</v>
      </c>
      <c r="C163" s="1">
        <v>44725</v>
      </c>
      <c r="D163" t="s">
        <v>59</v>
      </c>
      <c r="E163" t="s">
        <v>66</v>
      </c>
      <c r="F163">
        <v>72</v>
      </c>
      <c r="G163" t="s">
        <v>2</v>
      </c>
      <c r="H163" s="2">
        <v>11</v>
      </c>
      <c r="I163" s="3">
        <v>0.60394772308749511</v>
      </c>
      <c r="J163">
        <f>PRODUCT(Table3[[#This Row],[Price of One Product]],Table3[[#This Row],[No of Products in one Sale]])</f>
        <v>792</v>
      </c>
      <c r="K163" s="6">
        <f>Table3[[#This Row],[Actual Sale]]*(1-Table3[[#This Row],[Discount]])</f>
        <v>313.67340331470388</v>
      </c>
      <c r="L163" t="str">
        <f>TEXT(Table3[[#This Row],[Sale Date]],"dddd")</f>
        <v>Monday</v>
      </c>
    </row>
    <row r="164" spans="1:12" x14ac:dyDescent="0.3">
      <c r="A164" t="s">
        <v>187</v>
      </c>
      <c r="B164" t="s">
        <v>52</v>
      </c>
      <c r="C164" s="1">
        <v>44753</v>
      </c>
      <c r="D164" t="s">
        <v>60</v>
      </c>
      <c r="E164" t="s">
        <v>66</v>
      </c>
      <c r="F164">
        <v>65</v>
      </c>
      <c r="G164" t="s">
        <v>0</v>
      </c>
      <c r="H164" s="2">
        <v>7</v>
      </c>
      <c r="I164" s="3">
        <v>0.2716676542664398</v>
      </c>
      <c r="J164">
        <f>PRODUCT(Table3[[#This Row],[Price of One Product]],Table3[[#This Row],[No of Products in one Sale]])</f>
        <v>455</v>
      </c>
      <c r="K164" s="6">
        <f>Table3[[#This Row],[Actual Sale]]*(1-Table3[[#This Row],[Discount]])</f>
        <v>331.39121730876991</v>
      </c>
      <c r="L164" t="str">
        <f>TEXT(Table3[[#This Row],[Sale Date]],"dddd")</f>
        <v>Monday</v>
      </c>
    </row>
    <row r="165" spans="1:12" x14ac:dyDescent="0.3">
      <c r="A165" t="s">
        <v>188</v>
      </c>
      <c r="B165" t="s">
        <v>53</v>
      </c>
      <c r="C165" s="1">
        <v>44738</v>
      </c>
      <c r="D165" t="s">
        <v>61</v>
      </c>
      <c r="E165" t="s">
        <v>66</v>
      </c>
      <c r="F165">
        <v>250</v>
      </c>
      <c r="G165" t="s">
        <v>1</v>
      </c>
      <c r="H165" s="2">
        <v>2</v>
      </c>
      <c r="I165" s="3">
        <v>0.56293228162406539</v>
      </c>
      <c r="J165">
        <f>PRODUCT(Table3[[#This Row],[Price of One Product]],Table3[[#This Row],[No of Products in one Sale]])</f>
        <v>500</v>
      </c>
      <c r="K165" s="6">
        <f>Table3[[#This Row],[Actual Sale]]*(1-Table3[[#This Row],[Discount]])</f>
        <v>218.53385918796729</v>
      </c>
      <c r="L165" t="str">
        <f>TEXT(Table3[[#This Row],[Sale Date]],"dddd")</f>
        <v>Sunday</v>
      </c>
    </row>
    <row r="166" spans="1:12" x14ac:dyDescent="0.3">
      <c r="A166" t="s">
        <v>189</v>
      </c>
      <c r="B166" t="s">
        <v>54</v>
      </c>
      <c r="C166" s="1">
        <v>44762</v>
      </c>
      <c r="D166" t="s">
        <v>62</v>
      </c>
      <c r="E166" t="s">
        <v>66</v>
      </c>
      <c r="F166">
        <v>130</v>
      </c>
      <c r="G166" t="s">
        <v>2</v>
      </c>
      <c r="H166" s="2">
        <v>4</v>
      </c>
      <c r="I166" s="3">
        <v>0.73579140219525918</v>
      </c>
      <c r="J166">
        <f>PRODUCT(Table3[[#This Row],[Price of One Product]],Table3[[#This Row],[No of Products in one Sale]])</f>
        <v>520</v>
      </c>
      <c r="K166" s="6">
        <f>Table3[[#This Row],[Actual Sale]]*(1-Table3[[#This Row],[Discount]])</f>
        <v>137.38847085846521</v>
      </c>
      <c r="L166" t="str">
        <f>TEXT(Table3[[#This Row],[Sale Date]],"dddd")</f>
        <v>Wednesday</v>
      </c>
    </row>
    <row r="167" spans="1:12" x14ac:dyDescent="0.3">
      <c r="A167" t="s">
        <v>190</v>
      </c>
      <c r="B167" t="s">
        <v>55</v>
      </c>
      <c r="C167" s="1">
        <v>44756</v>
      </c>
      <c r="D167" t="s">
        <v>63</v>
      </c>
      <c r="E167" t="s">
        <v>66</v>
      </c>
      <c r="F167">
        <v>60</v>
      </c>
      <c r="G167" t="s">
        <v>0</v>
      </c>
      <c r="H167" s="2">
        <v>12</v>
      </c>
      <c r="I167" s="3">
        <v>0.44112931781121201</v>
      </c>
      <c r="J167">
        <f>PRODUCT(Table3[[#This Row],[Price of One Product]],Table3[[#This Row],[No of Products in one Sale]])</f>
        <v>720</v>
      </c>
      <c r="K167" s="6">
        <f>Table3[[#This Row],[Actual Sale]]*(1-Table3[[#This Row],[Discount]])</f>
        <v>402.38689117592736</v>
      </c>
      <c r="L167" t="str">
        <f>TEXT(Table3[[#This Row],[Sale Date]],"dddd")</f>
        <v>Thursday</v>
      </c>
    </row>
    <row r="168" spans="1:12" x14ac:dyDescent="0.3">
      <c r="A168" t="s">
        <v>191</v>
      </c>
      <c r="B168" t="s">
        <v>51</v>
      </c>
      <c r="C168" s="1">
        <v>44744</v>
      </c>
      <c r="D168" t="s">
        <v>59</v>
      </c>
      <c r="E168" t="s">
        <v>66</v>
      </c>
      <c r="F168">
        <v>72</v>
      </c>
      <c r="G168" t="s">
        <v>1</v>
      </c>
      <c r="H168" s="2">
        <v>11</v>
      </c>
      <c r="I168" s="3">
        <v>0.67026763876764872</v>
      </c>
      <c r="J168">
        <f>PRODUCT(Table3[[#This Row],[Price of One Product]],Table3[[#This Row],[No of Products in one Sale]])</f>
        <v>792</v>
      </c>
      <c r="K168" s="6">
        <f>Table3[[#This Row],[Actual Sale]]*(1-Table3[[#This Row],[Discount]])</f>
        <v>261.14803009602224</v>
      </c>
      <c r="L168" t="str">
        <f>TEXT(Table3[[#This Row],[Sale Date]],"dddd")</f>
        <v>Saturday</v>
      </c>
    </row>
    <row r="169" spans="1:12" x14ac:dyDescent="0.3">
      <c r="A169" t="s">
        <v>192</v>
      </c>
      <c r="B169" t="s">
        <v>52</v>
      </c>
      <c r="C169" s="1">
        <v>44753</v>
      </c>
      <c r="D169" t="s">
        <v>60</v>
      </c>
      <c r="E169" t="s">
        <v>66</v>
      </c>
      <c r="F169">
        <v>65</v>
      </c>
      <c r="G169" t="s">
        <v>2</v>
      </c>
      <c r="H169" s="2">
        <v>9</v>
      </c>
      <c r="I169" s="3">
        <v>0.21501842814819261</v>
      </c>
      <c r="J169">
        <f>PRODUCT(Table3[[#This Row],[Price of One Product]],Table3[[#This Row],[No of Products in one Sale]])</f>
        <v>585</v>
      </c>
      <c r="K169" s="6">
        <f>Table3[[#This Row],[Actual Sale]]*(1-Table3[[#This Row],[Discount]])</f>
        <v>459.2142195333073</v>
      </c>
      <c r="L169" t="str">
        <f>TEXT(Table3[[#This Row],[Sale Date]],"dddd")</f>
        <v>Monday</v>
      </c>
    </row>
    <row r="170" spans="1:12" x14ac:dyDescent="0.3">
      <c r="A170" t="s">
        <v>193</v>
      </c>
      <c r="B170" t="s">
        <v>53</v>
      </c>
      <c r="C170" s="1">
        <v>44762</v>
      </c>
      <c r="D170" t="s">
        <v>61</v>
      </c>
      <c r="E170" t="s">
        <v>67</v>
      </c>
      <c r="F170">
        <v>250</v>
      </c>
      <c r="G170" t="s">
        <v>0</v>
      </c>
      <c r="H170" s="2">
        <v>3</v>
      </c>
      <c r="I170" s="3">
        <v>0.77528388030776896</v>
      </c>
      <c r="J170">
        <f>PRODUCT(Table3[[#This Row],[Price of One Product]],Table3[[#This Row],[No of Products in one Sale]])</f>
        <v>750</v>
      </c>
      <c r="K170" s="6">
        <f>Table3[[#This Row],[Actual Sale]]*(1-Table3[[#This Row],[Discount]])</f>
        <v>168.53708976917329</v>
      </c>
      <c r="L170" t="str">
        <f>TEXT(Table3[[#This Row],[Sale Date]],"dddd")</f>
        <v>Wednesday</v>
      </c>
    </row>
    <row r="171" spans="1:12" x14ac:dyDescent="0.3">
      <c r="A171" t="s">
        <v>194</v>
      </c>
      <c r="B171" t="s">
        <v>54</v>
      </c>
      <c r="C171" s="1">
        <v>44740</v>
      </c>
      <c r="D171" t="s">
        <v>62</v>
      </c>
      <c r="E171" t="s">
        <v>66</v>
      </c>
      <c r="F171">
        <v>130</v>
      </c>
      <c r="G171" t="s">
        <v>1</v>
      </c>
      <c r="H171" s="2">
        <v>3</v>
      </c>
      <c r="I171" s="3">
        <v>0.32334348690445713</v>
      </c>
      <c r="J171">
        <f>PRODUCT(Table3[[#This Row],[Price of One Product]],Table3[[#This Row],[No of Products in one Sale]])</f>
        <v>390</v>
      </c>
      <c r="K171" s="6">
        <f>Table3[[#This Row],[Actual Sale]]*(1-Table3[[#This Row],[Discount]])</f>
        <v>263.89604010726174</v>
      </c>
      <c r="L171" t="str">
        <f>TEXT(Table3[[#This Row],[Sale Date]],"dddd")</f>
        <v>Tuesday</v>
      </c>
    </row>
    <row r="172" spans="1:12" x14ac:dyDescent="0.3">
      <c r="A172" t="s">
        <v>195</v>
      </c>
      <c r="B172" t="s">
        <v>51</v>
      </c>
      <c r="C172" s="1">
        <v>44729</v>
      </c>
      <c r="D172" t="s">
        <v>59</v>
      </c>
      <c r="E172" t="s">
        <v>66</v>
      </c>
      <c r="F172">
        <v>72</v>
      </c>
      <c r="G172" t="s">
        <v>2</v>
      </c>
      <c r="H172" s="2">
        <v>5</v>
      </c>
      <c r="I172" s="3">
        <v>0.2117276391971491</v>
      </c>
      <c r="J172">
        <f>PRODUCT(Table3[[#This Row],[Price of One Product]],Table3[[#This Row],[No of Products in one Sale]])</f>
        <v>360</v>
      </c>
      <c r="K172" s="6">
        <f>Table3[[#This Row],[Actual Sale]]*(1-Table3[[#This Row],[Discount]])</f>
        <v>283.77804988902631</v>
      </c>
      <c r="L172" t="str">
        <f>TEXT(Table3[[#This Row],[Sale Date]],"dddd")</f>
        <v>Friday</v>
      </c>
    </row>
    <row r="173" spans="1:12" x14ac:dyDescent="0.3">
      <c r="A173" t="s">
        <v>196</v>
      </c>
      <c r="B173" t="s">
        <v>52</v>
      </c>
      <c r="C173" s="1">
        <v>44727</v>
      </c>
      <c r="D173" t="s">
        <v>60</v>
      </c>
      <c r="E173" t="s">
        <v>66</v>
      </c>
      <c r="F173">
        <v>65</v>
      </c>
      <c r="G173" t="s">
        <v>0</v>
      </c>
      <c r="H173" s="2">
        <v>10</v>
      </c>
      <c r="I173" s="3">
        <v>0.99817658128489728</v>
      </c>
      <c r="J173">
        <f>PRODUCT(Table3[[#This Row],[Price of One Product]],Table3[[#This Row],[No of Products in one Sale]])</f>
        <v>650</v>
      </c>
      <c r="K173" s="6">
        <f>Table3[[#This Row],[Actual Sale]]*(1-Table3[[#This Row],[Discount]])</f>
        <v>1.1852221648167682</v>
      </c>
      <c r="L173" t="str">
        <f>TEXT(Table3[[#This Row],[Sale Date]],"dddd")</f>
        <v>Wednesday</v>
      </c>
    </row>
    <row r="174" spans="1:12" x14ac:dyDescent="0.3">
      <c r="A174" t="s">
        <v>197</v>
      </c>
      <c r="B174" t="s">
        <v>53</v>
      </c>
      <c r="C174" s="1">
        <v>44734</v>
      </c>
      <c r="D174" t="s">
        <v>61</v>
      </c>
      <c r="E174" t="s">
        <v>66</v>
      </c>
      <c r="F174">
        <v>250</v>
      </c>
      <c r="G174" t="s">
        <v>1</v>
      </c>
      <c r="H174" s="2">
        <v>3</v>
      </c>
      <c r="I174" s="3">
        <v>0.34321661485625221</v>
      </c>
      <c r="J174">
        <f>PRODUCT(Table3[[#This Row],[Price of One Product]],Table3[[#This Row],[No of Products in one Sale]])</f>
        <v>750</v>
      </c>
      <c r="K174" s="6">
        <f>Table3[[#This Row],[Actual Sale]]*(1-Table3[[#This Row],[Discount]])</f>
        <v>492.58753885781084</v>
      </c>
      <c r="L174" t="str">
        <f>TEXT(Table3[[#This Row],[Sale Date]],"dddd")</f>
        <v>Wednesday</v>
      </c>
    </row>
    <row r="175" spans="1:12" x14ac:dyDescent="0.3">
      <c r="A175" t="s">
        <v>198</v>
      </c>
      <c r="B175" t="s">
        <v>54</v>
      </c>
      <c r="C175" s="1">
        <v>44744</v>
      </c>
      <c r="D175" t="s">
        <v>62</v>
      </c>
      <c r="E175" t="s">
        <v>66</v>
      </c>
      <c r="F175">
        <v>130</v>
      </c>
      <c r="G175" t="s">
        <v>2</v>
      </c>
      <c r="H175" s="2">
        <v>6</v>
      </c>
      <c r="I175" s="3">
        <v>0.17688363553653064</v>
      </c>
      <c r="J175">
        <f>PRODUCT(Table3[[#This Row],[Price of One Product]],Table3[[#This Row],[No of Products in one Sale]])</f>
        <v>780</v>
      </c>
      <c r="K175" s="6">
        <f>Table3[[#This Row],[Actual Sale]]*(1-Table3[[#This Row],[Discount]])</f>
        <v>642.03076428150609</v>
      </c>
      <c r="L175" t="str">
        <f>TEXT(Table3[[#This Row],[Sale Date]],"dddd")</f>
        <v>Saturday</v>
      </c>
    </row>
    <row r="176" spans="1:12" x14ac:dyDescent="0.3">
      <c r="A176" t="s">
        <v>199</v>
      </c>
      <c r="B176" t="s">
        <v>55</v>
      </c>
      <c r="C176" s="1">
        <v>44737</v>
      </c>
      <c r="D176" t="s">
        <v>63</v>
      </c>
      <c r="E176" t="s">
        <v>67</v>
      </c>
      <c r="F176">
        <v>60</v>
      </c>
      <c r="G176" t="s">
        <v>0</v>
      </c>
      <c r="H176" s="2">
        <v>12</v>
      </c>
      <c r="I176" s="3">
        <v>0.54853763527560739</v>
      </c>
      <c r="J176">
        <f>PRODUCT(Table3[[#This Row],[Price of One Product]],Table3[[#This Row],[No of Products in one Sale]])</f>
        <v>720</v>
      </c>
      <c r="K176" s="6">
        <f>Table3[[#This Row],[Actual Sale]]*(1-Table3[[#This Row],[Discount]])</f>
        <v>325.05290260156266</v>
      </c>
      <c r="L176" t="str">
        <f>TEXT(Table3[[#This Row],[Sale Date]],"dddd")</f>
        <v>Saturday</v>
      </c>
    </row>
    <row r="177" spans="1:12" x14ac:dyDescent="0.3">
      <c r="A177" t="s">
        <v>200</v>
      </c>
      <c r="B177" t="s">
        <v>56</v>
      </c>
      <c r="C177" s="1">
        <v>44752</v>
      </c>
      <c r="D177" t="s">
        <v>64</v>
      </c>
      <c r="E177" t="s">
        <v>66</v>
      </c>
      <c r="F177">
        <v>95</v>
      </c>
      <c r="G177" t="s">
        <v>1</v>
      </c>
      <c r="H177" s="2">
        <v>7</v>
      </c>
      <c r="I177" s="3">
        <v>0.40612729229894939</v>
      </c>
      <c r="J177">
        <f>PRODUCT(Table3[[#This Row],[Price of One Product]],Table3[[#This Row],[No of Products in one Sale]])</f>
        <v>665</v>
      </c>
      <c r="K177" s="6">
        <f>Table3[[#This Row],[Actual Sale]]*(1-Table3[[#This Row],[Discount]])</f>
        <v>394.92535062119867</v>
      </c>
      <c r="L177" t="str">
        <f>TEXT(Table3[[#This Row],[Sale Date]],"dddd")</f>
        <v>Sunday</v>
      </c>
    </row>
    <row r="178" spans="1:12" x14ac:dyDescent="0.3">
      <c r="A178" t="s">
        <v>201</v>
      </c>
      <c r="B178" t="s">
        <v>51</v>
      </c>
      <c r="C178" s="1">
        <v>44736</v>
      </c>
      <c r="D178" t="s">
        <v>59</v>
      </c>
      <c r="E178" t="s">
        <v>66</v>
      </c>
      <c r="F178">
        <v>72</v>
      </c>
      <c r="G178" t="s">
        <v>2</v>
      </c>
      <c r="H178" s="2">
        <v>6</v>
      </c>
      <c r="I178" s="3">
        <v>0.16780300089638589</v>
      </c>
      <c r="J178">
        <f>PRODUCT(Table3[[#This Row],[Price of One Product]],Table3[[#This Row],[No of Products in one Sale]])</f>
        <v>432</v>
      </c>
      <c r="K178" s="6">
        <f>Table3[[#This Row],[Actual Sale]]*(1-Table3[[#This Row],[Discount]])</f>
        <v>359.50910361276129</v>
      </c>
      <c r="L178" t="str">
        <f>TEXT(Table3[[#This Row],[Sale Date]],"dddd")</f>
        <v>Friday</v>
      </c>
    </row>
    <row r="179" spans="1:12" x14ac:dyDescent="0.3">
      <c r="A179" t="s">
        <v>202</v>
      </c>
      <c r="B179" t="s">
        <v>52</v>
      </c>
      <c r="C179" s="1">
        <v>44752</v>
      </c>
      <c r="D179" t="s">
        <v>60</v>
      </c>
      <c r="E179" t="s">
        <v>66</v>
      </c>
      <c r="F179">
        <v>65</v>
      </c>
      <c r="G179" t="s">
        <v>0</v>
      </c>
      <c r="H179" s="2">
        <v>10</v>
      </c>
      <c r="I179" s="3">
        <v>0.91086777790941564</v>
      </c>
      <c r="J179">
        <f>PRODUCT(Table3[[#This Row],[Price of One Product]],Table3[[#This Row],[No of Products in one Sale]])</f>
        <v>650</v>
      </c>
      <c r="K179" s="6">
        <f>Table3[[#This Row],[Actual Sale]]*(1-Table3[[#This Row],[Discount]])</f>
        <v>57.93594435887983</v>
      </c>
      <c r="L179" t="str">
        <f>TEXT(Table3[[#This Row],[Sale Date]],"dddd")</f>
        <v>Sunday</v>
      </c>
    </row>
    <row r="180" spans="1:12" x14ac:dyDescent="0.3">
      <c r="A180" t="s">
        <v>203</v>
      </c>
      <c r="B180" t="s">
        <v>53</v>
      </c>
      <c r="C180" s="1">
        <v>44759</v>
      </c>
      <c r="D180" t="s">
        <v>61</v>
      </c>
      <c r="E180" t="s">
        <v>67</v>
      </c>
      <c r="F180">
        <v>250</v>
      </c>
      <c r="G180" t="s">
        <v>1</v>
      </c>
      <c r="H180" s="2">
        <v>3</v>
      </c>
      <c r="I180" s="3">
        <v>0.2731985494536886</v>
      </c>
      <c r="J180">
        <f>PRODUCT(Table3[[#This Row],[Price of One Product]],Table3[[#This Row],[No of Products in one Sale]])</f>
        <v>750</v>
      </c>
      <c r="K180" s="6">
        <f>Table3[[#This Row],[Actual Sale]]*(1-Table3[[#This Row],[Discount]])</f>
        <v>545.10108790973356</v>
      </c>
      <c r="L180" t="str">
        <f>TEXT(Table3[[#This Row],[Sale Date]],"dddd")</f>
        <v>Sunday</v>
      </c>
    </row>
    <row r="181" spans="1:12" x14ac:dyDescent="0.3">
      <c r="A181" t="s">
        <v>204</v>
      </c>
      <c r="B181" t="s">
        <v>54</v>
      </c>
      <c r="C181" s="1">
        <v>44763</v>
      </c>
      <c r="D181" t="s">
        <v>62</v>
      </c>
      <c r="E181" t="s">
        <v>67</v>
      </c>
      <c r="F181">
        <v>130</v>
      </c>
      <c r="G181" t="s">
        <v>2</v>
      </c>
      <c r="H181" s="2">
        <v>4</v>
      </c>
      <c r="I181" s="3">
        <v>0.81984662786178419</v>
      </c>
      <c r="J181">
        <f>PRODUCT(Table3[[#This Row],[Price of One Product]],Table3[[#This Row],[No of Products in one Sale]])</f>
        <v>520</v>
      </c>
      <c r="K181" s="6">
        <f>Table3[[#This Row],[Actual Sale]]*(1-Table3[[#This Row],[Discount]])</f>
        <v>93.679753511872221</v>
      </c>
      <c r="L181" t="str">
        <f>TEXT(Table3[[#This Row],[Sale Date]],"dddd")</f>
        <v>Thursday</v>
      </c>
    </row>
    <row r="182" spans="1:12" x14ac:dyDescent="0.3">
      <c r="A182" t="s">
        <v>205</v>
      </c>
      <c r="B182" t="s">
        <v>51</v>
      </c>
      <c r="C182" s="1">
        <v>44763</v>
      </c>
      <c r="D182" t="s">
        <v>59</v>
      </c>
      <c r="E182" t="s">
        <v>67</v>
      </c>
      <c r="F182">
        <v>72</v>
      </c>
      <c r="G182" t="s">
        <v>0</v>
      </c>
      <c r="H182" s="2">
        <v>7</v>
      </c>
      <c r="I182" s="3">
        <v>0.89980934003543744</v>
      </c>
      <c r="J182">
        <f>PRODUCT(Table3[[#This Row],[Price of One Product]],Table3[[#This Row],[No of Products in one Sale]])</f>
        <v>504</v>
      </c>
      <c r="K182" s="6">
        <f>Table3[[#This Row],[Actual Sale]]*(1-Table3[[#This Row],[Discount]])</f>
        <v>50.496092622139528</v>
      </c>
      <c r="L182" t="str">
        <f>TEXT(Table3[[#This Row],[Sale Date]],"dddd")</f>
        <v>Thursday</v>
      </c>
    </row>
    <row r="183" spans="1:12" x14ac:dyDescent="0.3">
      <c r="A183" t="s">
        <v>206</v>
      </c>
      <c r="B183" t="s">
        <v>52</v>
      </c>
      <c r="C183" s="1">
        <v>44750</v>
      </c>
      <c r="D183" t="s">
        <v>60</v>
      </c>
      <c r="E183" t="s">
        <v>67</v>
      </c>
      <c r="F183">
        <v>65</v>
      </c>
      <c r="G183" t="s">
        <v>1</v>
      </c>
      <c r="H183" s="2">
        <v>5</v>
      </c>
      <c r="I183" s="3">
        <v>0.73522347452625669</v>
      </c>
      <c r="J183">
        <f>PRODUCT(Table3[[#This Row],[Price of One Product]],Table3[[#This Row],[No of Products in one Sale]])</f>
        <v>325</v>
      </c>
      <c r="K183" s="6">
        <f>Table3[[#This Row],[Actual Sale]]*(1-Table3[[#This Row],[Discount]])</f>
        <v>86.052370778966576</v>
      </c>
      <c r="L183" t="str">
        <f>TEXT(Table3[[#This Row],[Sale Date]],"dddd")</f>
        <v>Friday</v>
      </c>
    </row>
    <row r="184" spans="1:12" x14ac:dyDescent="0.3">
      <c r="A184" t="s">
        <v>207</v>
      </c>
      <c r="B184" t="s">
        <v>53</v>
      </c>
      <c r="C184" s="1">
        <v>44751</v>
      </c>
      <c r="D184" t="s">
        <v>61</v>
      </c>
      <c r="E184" t="s">
        <v>67</v>
      </c>
      <c r="F184">
        <v>250</v>
      </c>
      <c r="G184" t="s">
        <v>2</v>
      </c>
      <c r="H184" s="2">
        <v>3</v>
      </c>
      <c r="I184" s="3">
        <v>0.36579213338930128</v>
      </c>
      <c r="J184">
        <f>PRODUCT(Table3[[#This Row],[Price of One Product]],Table3[[#This Row],[No of Products in one Sale]])</f>
        <v>750</v>
      </c>
      <c r="K184" s="6">
        <f>Table3[[#This Row],[Actual Sale]]*(1-Table3[[#This Row],[Discount]])</f>
        <v>475.65589995802407</v>
      </c>
      <c r="L184" t="str">
        <f>TEXT(Table3[[#This Row],[Sale Date]],"dddd")</f>
        <v>Saturday</v>
      </c>
    </row>
    <row r="185" spans="1:12" x14ac:dyDescent="0.3">
      <c r="A185" t="s">
        <v>208</v>
      </c>
      <c r="B185" t="s">
        <v>54</v>
      </c>
      <c r="C185" s="1">
        <v>44736</v>
      </c>
      <c r="D185" t="s">
        <v>62</v>
      </c>
      <c r="E185" t="s">
        <v>67</v>
      </c>
      <c r="F185">
        <v>130</v>
      </c>
      <c r="G185" t="s">
        <v>0</v>
      </c>
      <c r="H185" s="2">
        <v>2</v>
      </c>
      <c r="I185" s="3">
        <v>0.79313642440033238</v>
      </c>
      <c r="J185">
        <f>PRODUCT(Table3[[#This Row],[Price of One Product]],Table3[[#This Row],[No of Products in one Sale]])</f>
        <v>260</v>
      </c>
      <c r="K185" s="6">
        <f>Table3[[#This Row],[Actual Sale]]*(1-Table3[[#This Row],[Discount]])</f>
        <v>53.78452965591358</v>
      </c>
      <c r="L185" t="str">
        <f>TEXT(Table3[[#This Row],[Sale Date]],"dddd")</f>
        <v>Friday</v>
      </c>
    </row>
    <row r="186" spans="1:12" x14ac:dyDescent="0.3">
      <c r="A186" t="s">
        <v>209</v>
      </c>
      <c r="B186" t="s">
        <v>51</v>
      </c>
      <c r="C186" s="1">
        <v>44737</v>
      </c>
      <c r="D186" t="s">
        <v>59</v>
      </c>
      <c r="E186" t="s">
        <v>66</v>
      </c>
      <c r="F186">
        <v>72</v>
      </c>
      <c r="G186" t="s">
        <v>0</v>
      </c>
      <c r="H186" s="2">
        <v>4</v>
      </c>
      <c r="I186" s="3">
        <v>8.0407664979564641E-2</v>
      </c>
      <c r="J186">
        <f>PRODUCT(Table3[[#This Row],[Price of One Product]],Table3[[#This Row],[No of Products in one Sale]])</f>
        <v>288</v>
      </c>
      <c r="K186" s="6">
        <f>Table3[[#This Row],[Actual Sale]]*(1-Table3[[#This Row],[Discount]])</f>
        <v>264.8425924858854</v>
      </c>
      <c r="L186" t="str">
        <f>TEXT(Table3[[#This Row],[Sale Date]],"dddd")</f>
        <v>Saturday</v>
      </c>
    </row>
    <row r="187" spans="1:12" x14ac:dyDescent="0.3">
      <c r="A187" t="s">
        <v>210</v>
      </c>
      <c r="B187" t="s">
        <v>52</v>
      </c>
      <c r="C187" s="1">
        <v>44744</v>
      </c>
      <c r="D187" t="s">
        <v>60</v>
      </c>
      <c r="E187" t="s">
        <v>67</v>
      </c>
      <c r="F187">
        <v>65</v>
      </c>
      <c r="G187" t="s">
        <v>1</v>
      </c>
      <c r="H187" s="2">
        <v>12</v>
      </c>
      <c r="I187" s="3">
        <v>0.38525936096781821</v>
      </c>
      <c r="J187">
        <f>PRODUCT(Table3[[#This Row],[Price of One Product]],Table3[[#This Row],[No of Products in one Sale]])</f>
        <v>780</v>
      </c>
      <c r="K187" s="6">
        <f>Table3[[#This Row],[Actual Sale]]*(1-Table3[[#This Row],[Discount]])</f>
        <v>479.49769844510178</v>
      </c>
      <c r="L187" t="str">
        <f>TEXT(Table3[[#This Row],[Sale Date]],"dddd")</f>
        <v>Saturday</v>
      </c>
    </row>
    <row r="188" spans="1:12" x14ac:dyDescent="0.3">
      <c r="A188" t="s">
        <v>211</v>
      </c>
      <c r="B188" t="s">
        <v>53</v>
      </c>
      <c r="C188" s="1">
        <v>44735</v>
      </c>
      <c r="D188" t="s">
        <v>61</v>
      </c>
      <c r="E188" t="s">
        <v>66</v>
      </c>
      <c r="F188">
        <v>250</v>
      </c>
      <c r="G188" t="s">
        <v>2</v>
      </c>
      <c r="H188" s="2">
        <v>1</v>
      </c>
      <c r="I188" s="3">
        <v>0.45507177071325888</v>
      </c>
      <c r="J188">
        <f>PRODUCT(Table3[[#This Row],[Price of One Product]],Table3[[#This Row],[No of Products in one Sale]])</f>
        <v>250</v>
      </c>
      <c r="K188" s="6">
        <f>Table3[[#This Row],[Actual Sale]]*(1-Table3[[#This Row],[Discount]])</f>
        <v>136.23205732168529</v>
      </c>
      <c r="L188" t="str">
        <f>TEXT(Table3[[#This Row],[Sale Date]],"dddd")</f>
        <v>Thursday</v>
      </c>
    </row>
    <row r="189" spans="1:12" x14ac:dyDescent="0.3">
      <c r="A189" t="s">
        <v>212</v>
      </c>
      <c r="B189" t="s">
        <v>54</v>
      </c>
      <c r="C189" s="1">
        <v>44751</v>
      </c>
      <c r="D189" t="s">
        <v>62</v>
      </c>
      <c r="E189" t="s">
        <v>67</v>
      </c>
      <c r="F189">
        <v>130</v>
      </c>
      <c r="G189" t="s">
        <v>0</v>
      </c>
      <c r="H189" s="2">
        <v>4</v>
      </c>
      <c r="I189" s="3">
        <v>0.93827031337312128</v>
      </c>
      <c r="J189">
        <f>PRODUCT(Table3[[#This Row],[Price of One Product]],Table3[[#This Row],[No of Products in one Sale]])</f>
        <v>520</v>
      </c>
      <c r="K189" s="6">
        <f>Table3[[#This Row],[Actual Sale]]*(1-Table3[[#This Row],[Discount]])</f>
        <v>32.099437045976934</v>
      </c>
      <c r="L189" t="str">
        <f>TEXT(Table3[[#This Row],[Sale Date]],"dddd")</f>
        <v>Saturday</v>
      </c>
    </row>
    <row r="190" spans="1:12" x14ac:dyDescent="0.3">
      <c r="A190" t="s">
        <v>213</v>
      </c>
      <c r="B190" t="s">
        <v>51</v>
      </c>
      <c r="C190" s="1">
        <v>44726</v>
      </c>
      <c r="D190" t="s">
        <v>59</v>
      </c>
      <c r="E190" t="s">
        <v>66</v>
      </c>
      <c r="F190">
        <v>72</v>
      </c>
      <c r="G190" t="s">
        <v>1</v>
      </c>
      <c r="H190" s="2">
        <v>7</v>
      </c>
      <c r="I190" s="3">
        <v>0.14716035331195043</v>
      </c>
      <c r="J190">
        <f>PRODUCT(Table3[[#This Row],[Price of One Product]],Table3[[#This Row],[No of Products in one Sale]])</f>
        <v>504</v>
      </c>
      <c r="K190" s="6">
        <f>Table3[[#This Row],[Actual Sale]]*(1-Table3[[#This Row],[Discount]])</f>
        <v>429.83118193077701</v>
      </c>
      <c r="L190" t="str">
        <f>TEXT(Table3[[#This Row],[Sale Date]],"dddd")</f>
        <v>Tuesday</v>
      </c>
    </row>
    <row r="191" spans="1:12" x14ac:dyDescent="0.3">
      <c r="A191" t="s">
        <v>214</v>
      </c>
      <c r="B191" t="s">
        <v>52</v>
      </c>
      <c r="C191" s="1">
        <v>44749</v>
      </c>
      <c r="D191" t="s">
        <v>60</v>
      </c>
      <c r="E191" t="s">
        <v>67</v>
      </c>
      <c r="F191">
        <v>65</v>
      </c>
      <c r="G191" t="s">
        <v>2</v>
      </c>
      <c r="H191" s="2">
        <v>12</v>
      </c>
      <c r="I191" s="3">
        <v>0.10159867043013626</v>
      </c>
      <c r="J191">
        <f>PRODUCT(Table3[[#This Row],[Price of One Product]],Table3[[#This Row],[No of Products in one Sale]])</f>
        <v>780</v>
      </c>
      <c r="K191" s="6">
        <f>Table3[[#This Row],[Actual Sale]]*(1-Table3[[#This Row],[Discount]])</f>
        <v>700.7530370644937</v>
      </c>
      <c r="L191" t="str">
        <f>TEXT(Table3[[#This Row],[Sale Date]],"dddd")</f>
        <v>Thursday</v>
      </c>
    </row>
    <row r="192" spans="1:12" x14ac:dyDescent="0.3">
      <c r="A192" t="s">
        <v>215</v>
      </c>
      <c r="B192" t="s">
        <v>53</v>
      </c>
      <c r="C192" s="1">
        <v>44734</v>
      </c>
      <c r="D192" t="s">
        <v>61</v>
      </c>
      <c r="E192" t="s">
        <v>66</v>
      </c>
      <c r="F192">
        <v>250</v>
      </c>
      <c r="G192" t="s">
        <v>0</v>
      </c>
      <c r="H192" s="2">
        <v>2</v>
      </c>
      <c r="I192" s="3">
        <v>0.50060788399709522</v>
      </c>
      <c r="J192">
        <f>PRODUCT(Table3[[#This Row],[Price of One Product]],Table3[[#This Row],[No of Products in one Sale]])</f>
        <v>500</v>
      </c>
      <c r="K192" s="6">
        <f>Table3[[#This Row],[Actual Sale]]*(1-Table3[[#This Row],[Discount]])</f>
        <v>249.6960580014524</v>
      </c>
      <c r="L192" t="str">
        <f>TEXT(Table3[[#This Row],[Sale Date]],"dddd")</f>
        <v>Wednesday</v>
      </c>
    </row>
    <row r="193" spans="1:12" x14ac:dyDescent="0.3">
      <c r="A193" t="s">
        <v>216</v>
      </c>
      <c r="B193" t="s">
        <v>54</v>
      </c>
      <c r="C193" s="1">
        <v>44726</v>
      </c>
      <c r="D193" t="s">
        <v>62</v>
      </c>
      <c r="E193" t="s">
        <v>67</v>
      </c>
      <c r="F193">
        <v>130</v>
      </c>
      <c r="G193" t="s">
        <v>1</v>
      </c>
      <c r="H193" s="2">
        <v>6</v>
      </c>
      <c r="I193" s="3">
        <v>0.70539643021834586</v>
      </c>
      <c r="J193">
        <f>PRODUCT(Table3[[#This Row],[Price of One Product]],Table3[[#This Row],[No of Products in one Sale]])</f>
        <v>780</v>
      </c>
      <c r="K193" s="6">
        <f>Table3[[#This Row],[Actual Sale]]*(1-Table3[[#This Row],[Discount]])</f>
        <v>229.79078442969023</v>
      </c>
      <c r="L193" t="str">
        <f>TEXT(Table3[[#This Row],[Sale Date]],"dddd")</f>
        <v>Tuesday</v>
      </c>
    </row>
    <row r="194" spans="1:12" x14ac:dyDescent="0.3">
      <c r="A194" t="s">
        <v>217</v>
      </c>
      <c r="B194" t="s">
        <v>55</v>
      </c>
      <c r="C194" s="1">
        <v>44743</v>
      </c>
      <c r="D194" t="s">
        <v>63</v>
      </c>
      <c r="E194" t="s">
        <v>66</v>
      </c>
      <c r="F194">
        <v>60</v>
      </c>
      <c r="G194" t="s">
        <v>2</v>
      </c>
      <c r="H194" s="2">
        <v>12</v>
      </c>
      <c r="I194" s="3">
        <v>0.72481379032239401</v>
      </c>
      <c r="J194">
        <f>PRODUCT(Table3[[#This Row],[Price of One Product]],Table3[[#This Row],[No of Products in one Sale]])</f>
        <v>720</v>
      </c>
      <c r="K194" s="6">
        <f>Table3[[#This Row],[Actual Sale]]*(1-Table3[[#This Row],[Discount]])</f>
        <v>198.13407096787631</v>
      </c>
      <c r="L194" t="str">
        <f>TEXT(Table3[[#This Row],[Sale Date]],"dddd")</f>
        <v>Friday</v>
      </c>
    </row>
    <row r="195" spans="1:12" x14ac:dyDescent="0.3">
      <c r="A195" t="s">
        <v>218</v>
      </c>
      <c r="B195" t="s">
        <v>51</v>
      </c>
      <c r="C195" s="1">
        <v>44742</v>
      </c>
      <c r="D195" t="s">
        <v>59</v>
      </c>
      <c r="E195" t="s">
        <v>67</v>
      </c>
      <c r="F195">
        <v>72</v>
      </c>
      <c r="G195" t="s">
        <v>0</v>
      </c>
      <c r="H195" s="2">
        <v>6</v>
      </c>
      <c r="I195" s="3">
        <v>0.21833121955544521</v>
      </c>
      <c r="J195">
        <f>PRODUCT(Table3[[#This Row],[Price of One Product]],Table3[[#This Row],[No of Products in one Sale]])</f>
        <v>432</v>
      </c>
      <c r="K195" s="6">
        <f>Table3[[#This Row],[Actual Sale]]*(1-Table3[[#This Row],[Discount]])</f>
        <v>337.68091315204765</v>
      </c>
      <c r="L195" t="str">
        <f>TEXT(Table3[[#This Row],[Sale Date]],"dddd")</f>
        <v>Thursday</v>
      </c>
    </row>
    <row r="196" spans="1:12" x14ac:dyDescent="0.3">
      <c r="A196" t="s">
        <v>219</v>
      </c>
      <c r="B196" t="s">
        <v>52</v>
      </c>
      <c r="C196" s="1">
        <v>44747</v>
      </c>
      <c r="D196" t="s">
        <v>60</v>
      </c>
      <c r="E196" t="s">
        <v>66</v>
      </c>
      <c r="F196">
        <v>65</v>
      </c>
      <c r="G196" t="s">
        <v>1</v>
      </c>
      <c r="H196" s="2">
        <v>8</v>
      </c>
      <c r="I196" s="3">
        <v>0.33253524453952932</v>
      </c>
      <c r="J196">
        <f>PRODUCT(Table3[[#This Row],[Price of One Product]],Table3[[#This Row],[No of Products in one Sale]])</f>
        <v>520</v>
      </c>
      <c r="K196" s="6">
        <f>Table3[[#This Row],[Actual Sale]]*(1-Table3[[#This Row],[Discount]])</f>
        <v>347.08167283944476</v>
      </c>
      <c r="L196" t="str">
        <f>TEXT(Table3[[#This Row],[Sale Date]],"dddd")</f>
        <v>Tuesday</v>
      </c>
    </row>
    <row r="197" spans="1:12" x14ac:dyDescent="0.3">
      <c r="A197" t="s">
        <v>220</v>
      </c>
      <c r="B197" t="s">
        <v>53</v>
      </c>
      <c r="C197" s="1">
        <v>44764</v>
      </c>
      <c r="D197" t="s">
        <v>61</v>
      </c>
      <c r="E197" t="s">
        <v>67</v>
      </c>
      <c r="F197">
        <v>250</v>
      </c>
      <c r="G197" t="s">
        <v>2</v>
      </c>
      <c r="H197" s="2">
        <v>2</v>
      </c>
      <c r="I197" s="3">
        <v>0.39793552100289009</v>
      </c>
      <c r="J197">
        <f>PRODUCT(Table3[[#This Row],[Price of One Product]],Table3[[#This Row],[No of Products in one Sale]])</f>
        <v>500</v>
      </c>
      <c r="K197" s="6">
        <f>Table3[[#This Row],[Actual Sale]]*(1-Table3[[#This Row],[Discount]])</f>
        <v>301.03223949855493</v>
      </c>
      <c r="L197" t="str">
        <f>TEXT(Table3[[#This Row],[Sale Date]],"dddd")</f>
        <v>Friday</v>
      </c>
    </row>
    <row r="198" spans="1:12" x14ac:dyDescent="0.3">
      <c r="A198" t="s">
        <v>221</v>
      </c>
      <c r="B198" t="s">
        <v>54</v>
      </c>
      <c r="C198" s="1">
        <v>44735</v>
      </c>
      <c r="D198" t="s">
        <v>62</v>
      </c>
      <c r="E198" t="s">
        <v>66</v>
      </c>
      <c r="F198">
        <v>130</v>
      </c>
      <c r="G198" t="s">
        <v>0</v>
      </c>
      <c r="H198" s="2">
        <v>4</v>
      </c>
      <c r="I198" s="3">
        <v>0.83519533088641318</v>
      </c>
      <c r="J198">
        <f>PRODUCT(Table3[[#This Row],[Price of One Product]],Table3[[#This Row],[No of Products in one Sale]])</f>
        <v>520</v>
      </c>
      <c r="K198" s="6">
        <f>Table3[[#This Row],[Actual Sale]]*(1-Table3[[#This Row],[Discount]])</f>
        <v>85.698427939065141</v>
      </c>
      <c r="L198" t="str">
        <f>TEXT(Table3[[#This Row],[Sale Date]],"dddd")</f>
        <v>Thursday</v>
      </c>
    </row>
    <row r="199" spans="1:12" x14ac:dyDescent="0.3">
      <c r="A199" t="s">
        <v>222</v>
      </c>
      <c r="B199" t="s">
        <v>51</v>
      </c>
      <c r="C199" s="1">
        <v>44737</v>
      </c>
      <c r="D199" t="s">
        <v>59</v>
      </c>
      <c r="E199" t="s">
        <v>67</v>
      </c>
      <c r="F199">
        <v>72</v>
      </c>
      <c r="G199" t="s">
        <v>1</v>
      </c>
      <c r="H199" s="2">
        <v>10</v>
      </c>
      <c r="I199" s="3">
        <v>8.7312208799101843E-3</v>
      </c>
      <c r="J199">
        <f>PRODUCT(Table3[[#This Row],[Price of One Product]],Table3[[#This Row],[No of Products in one Sale]])</f>
        <v>720</v>
      </c>
      <c r="K199" s="6">
        <f>Table3[[#This Row],[Actual Sale]]*(1-Table3[[#This Row],[Discount]])</f>
        <v>713.71352096646467</v>
      </c>
      <c r="L199" t="str">
        <f>TEXT(Table3[[#This Row],[Sale Date]],"dddd")</f>
        <v>Saturday</v>
      </c>
    </row>
    <row r="200" spans="1:12" x14ac:dyDescent="0.3">
      <c r="A200" t="s">
        <v>223</v>
      </c>
      <c r="B200" t="s">
        <v>52</v>
      </c>
      <c r="C200" s="1">
        <v>44749</v>
      </c>
      <c r="D200" t="s">
        <v>60</v>
      </c>
      <c r="E200" t="s">
        <v>66</v>
      </c>
      <c r="F200">
        <v>65</v>
      </c>
      <c r="G200" t="s">
        <v>2</v>
      </c>
      <c r="H200" s="2">
        <v>12</v>
      </c>
      <c r="I200" s="3">
        <v>0.95071636556912675</v>
      </c>
      <c r="J200">
        <f>PRODUCT(Table3[[#This Row],[Price of One Product]],Table3[[#This Row],[No of Products in one Sale]])</f>
        <v>780</v>
      </c>
      <c r="K200" s="6">
        <f>Table3[[#This Row],[Actual Sale]]*(1-Table3[[#This Row],[Discount]])</f>
        <v>38.441234856081131</v>
      </c>
      <c r="L200" t="str">
        <f>TEXT(Table3[[#This Row],[Sale Date]],"dddd")</f>
        <v>Thursday</v>
      </c>
    </row>
    <row r="201" spans="1:12" x14ac:dyDescent="0.3">
      <c r="A201" t="s">
        <v>224</v>
      </c>
      <c r="B201" t="s">
        <v>53</v>
      </c>
      <c r="C201" s="1">
        <v>44729</v>
      </c>
      <c r="D201" t="s">
        <v>61</v>
      </c>
      <c r="E201" t="s">
        <v>67</v>
      </c>
      <c r="F201">
        <v>250</v>
      </c>
      <c r="G201" t="s">
        <v>0</v>
      </c>
      <c r="H201" s="2">
        <v>4</v>
      </c>
      <c r="I201" s="3">
        <v>6.5110770871939172E-2</v>
      </c>
      <c r="J201">
        <f>PRODUCT(Table3[[#This Row],[Price of One Product]],Table3[[#This Row],[No of Products in one Sale]])</f>
        <v>1000</v>
      </c>
      <c r="K201" s="6">
        <f>Table3[[#This Row],[Actual Sale]]*(1-Table3[[#This Row],[Discount]])</f>
        <v>934.88922912806083</v>
      </c>
      <c r="L201" t="str">
        <f>TEXT(Table3[[#This Row],[Sale Date]],"dddd")</f>
        <v>Friday</v>
      </c>
    </row>
    <row r="202" spans="1:12" x14ac:dyDescent="0.3">
      <c r="A202" t="s">
        <v>225</v>
      </c>
      <c r="B202" t="s">
        <v>54</v>
      </c>
      <c r="C202" s="1">
        <v>44738</v>
      </c>
      <c r="D202" t="s">
        <v>62</v>
      </c>
      <c r="E202" t="s">
        <v>66</v>
      </c>
      <c r="F202">
        <v>130</v>
      </c>
      <c r="G202" t="s">
        <v>1</v>
      </c>
      <c r="H202" s="2">
        <v>6</v>
      </c>
      <c r="I202" s="3">
        <v>0.43772024513265795</v>
      </c>
      <c r="J202">
        <f>PRODUCT(Table3[[#This Row],[Price of One Product]],Table3[[#This Row],[No of Products in one Sale]])</f>
        <v>780</v>
      </c>
      <c r="K202" s="6">
        <f>Table3[[#This Row],[Actual Sale]]*(1-Table3[[#This Row],[Discount]])</f>
        <v>438.57820879652678</v>
      </c>
      <c r="L202" t="str">
        <f>TEXT(Table3[[#This Row],[Sale Date]],"dddd")</f>
        <v>Sunday</v>
      </c>
    </row>
    <row r="203" spans="1:12" x14ac:dyDescent="0.3">
      <c r="A203" t="s">
        <v>226</v>
      </c>
      <c r="B203" t="s">
        <v>55</v>
      </c>
      <c r="C203" s="1">
        <v>44740</v>
      </c>
      <c r="D203" t="s">
        <v>63</v>
      </c>
      <c r="E203" t="s">
        <v>66</v>
      </c>
      <c r="F203">
        <v>60</v>
      </c>
      <c r="G203" t="s">
        <v>2</v>
      </c>
      <c r="H203" s="2">
        <v>7</v>
      </c>
      <c r="I203" s="3">
        <v>0.41853663840169475</v>
      </c>
      <c r="J203">
        <f>PRODUCT(Table3[[#This Row],[Price of One Product]],Table3[[#This Row],[No of Products in one Sale]])</f>
        <v>420</v>
      </c>
      <c r="K203" s="6">
        <f>Table3[[#This Row],[Actual Sale]]*(1-Table3[[#This Row],[Discount]])</f>
        <v>244.21461187128821</v>
      </c>
      <c r="L203" t="str">
        <f>TEXT(Table3[[#This Row],[Sale Date]],"dddd")</f>
        <v>Tuesday</v>
      </c>
    </row>
    <row r="204" spans="1:12" x14ac:dyDescent="0.3">
      <c r="A204" t="s">
        <v>227</v>
      </c>
      <c r="B204" t="s">
        <v>56</v>
      </c>
      <c r="C204" s="1">
        <v>44755</v>
      </c>
      <c r="D204" t="s">
        <v>64</v>
      </c>
      <c r="E204" t="s">
        <v>67</v>
      </c>
      <c r="F204">
        <v>95</v>
      </c>
      <c r="G204" t="s">
        <v>0</v>
      </c>
      <c r="H204" s="2">
        <v>7</v>
      </c>
      <c r="I204" s="3">
        <v>0.38824165845812764</v>
      </c>
      <c r="J204">
        <f>PRODUCT(Table3[[#This Row],[Price of One Product]],Table3[[#This Row],[No of Products in one Sale]])</f>
        <v>665</v>
      </c>
      <c r="K204" s="6">
        <f>Table3[[#This Row],[Actual Sale]]*(1-Table3[[#This Row],[Discount]])</f>
        <v>406.81929712534514</v>
      </c>
      <c r="L204" t="str">
        <f>TEXT(Table3[[#This Row],[Sale Date]],"dddd")</f>
        <v>Wednesday</v>
      </c>
    </row>
    <row r="205" spans="1:12" x14ac:dyDescent="0.3">
      <c r="A205" t="s">
        <v>228</v>
      </c>
      <c r="B205" t="s">
        <v>51</v>
      </c>
      <c r="C205" s="1">
        <v>44755</v>
      </c>
      <c r="D205" t="s">
        <v>59</v>
      </c>
      <c r="E205" t="s">
        <v>67</v>
      </c>
      <c r="F205">
        <v>72</v>
      </c>
      <c r="G205" t="s">
        <v>1</v>
      </c>
      <c r="H205" s="2">
        <v>3</v>
      </c>
      <c r="I205" s="3">
        <v>0.75434060698733896</v>
      </c>
      <c r="J205">
        <f>PRODUCT(Table3[[#This Row],[Price of One Product]],Table3[[#This Row],[No of Products in one Sale]])</f>
        <v>216</v>
      </c>
      <c r="K205" s="6">
        <f>Table3[[#This Row],[Actual Sale]]*(1-Table3[[#This Row],[Discount]])</f>
        <v>53.062428890734786</v>
      </c>
      <c r="L205" t="str">
        <f>TEXT(Table3[[#This Row],[Sale Date]],"dddd")</f>
        <v>Wednesday</v>
      </c>
    </row>
    <row r="206" spans="1:12" x14ac:dyDescent="0.3">
      <c r="A206" t="s">
        <v>229</v>
      </c>
      <c r="B206" t="s">
        <v>52</v>
      </c>
      <c r="C206" s="1">
        <v>44764</v>
      </c>
      <c r="D206" t="s">
        <v>60</v>
      </c>
      <c r="E206" t="s">
        <v>67</v>
      </c>
      <c r="F206">
        <v>65</v>
      </c>
      <c r="G206" t="s">
        <v>2</v>
      </c>
      <c r="H206" s="2">
        <v>12</v>
      </c>
      <c r="I206" s="3">
        <v>0.61587381700020483</v>
      </c>
      <c r="J206">
        <f>PRODUCT(Table3[[#This Row],[Price of One Product]],Table3[[#This Row],[No of Products in one Sale]])</f>
        <v>780</v>
      </c>
      <c r="K206" s="6">
        <f>Table3[[#This Row],[Actual Sale]]*(1-Table3[[#This Row],[Discount]])</f>
        <v>299.61842273984024</v>
      </c>
      <c r="L206" t="str">
        <f>TEXT(Table3[[#This Row],[Sale Date]],"dddd")</f>
        <v>Friday</v>
      </c>
    </row>
    <row r="207" spans="1:12" x14ac:dyDescent="0.3">
      <c r="A207" t="s">
        <v>230</v>
      </c>
      <c r="B207" t="s">
        <v>53</v>
      </c>
      <c r="C207" s="1">
        <v>44735</v>
      </c>
      <c r="D207" t="s">
        <v>61</v>
      </c>
      <c r="E207" t="s">
        <v>66</v>
      </c>
      <c r="F207">
        <v>250</v>
      </c>
      <c r="G207" t="s">
        <v>0</v>
      </c>
      <c r="H207" s="2">
        <v>2</v>
      </c>
      <c r="I207" s="3">
        <v>0.80006888756762451</v>
      </c>
      <c r="J207">
        <f>PRODUCT(Table3[[#This Row],[Price of One Product]],Table3[[#This Row],[No of Products in one Sale]])</f>
        <v>500</v>
      </c>
      <c r="K207" s="6">
        <f>Table3[[#This Row],[Actual Sale]]*(1-Table3[[#This Row],[Discount]])</f>
        <v>99.96555621618775</v>
      </c>
      <c r="L207" t="str">
        <f>TEXT(Table3[[#This Row],[Sale Date]],"dddd")</f>
        <v>Thursday</v>
      </c>
    </row>
    <row r="208" spans="1:12" x14ac:dyDescent="0.3">
      <c r="A208" t="s">
        <v>231</v>
      </c>
      <c r="B208" t="s">
        <v>54</v>
      </c>
      <c r="C208" s="1">
        <v>44734</v>
      </c>
      <c r="D208" t="s">
        <v>62</v>
      </c>
      <c r="E208" t="s">
        <v>66</v>
      </c>
      <c r="F208">
        <v>130</v>
      </c>
      <c r="G208" t="s">
        <v>1</v>
      </c>
      <c r="H208" s="2">
        <v>5</v>
      </c>
      <c r="I208" s="3">
        <v>0.68228949683615203</v>
      </c>
      <c r="J208">
        <f>PRODUCT(Table3[[#This Row],[Price of One Product]],Table3[[#This Row],[No of Products in one Sale]])</f>
        <v>650</v>
      </c>
      <c r="K208" s="6">
        <f>Table3[[#This Row],[Actual Sale]]*(1-Table3[[#This Row],[Discount]])</f>
        <v>206.51182705650118</v>
      </c>
      <c r="L208" t="str">
        <f>TEXT(Table3[[#This Row],[Sale Date]],"dddd")</f>
        <v>Wednesday</v>
      </c>
    </row>
    <row r="209" spans="1:12" x14ac:dyDescent="0.3">
      <c r="A209" t="s">
        <v>232</v>
      </c>
      <c r="B209" t="s">
        <v>51</v>
      </c>
      <c r="C209" s="1">
        <v>44728</v>
      </c>
      <c r="D209" t="s">
        <v>59</v>
      </c>
      <c r="E209" t="s">
        <v>66</v>
      </c>
      <c r="F209">
        <v>72</v>
      </c>
      <c r="G209" t="s">
        <v>2</v>
      </c>
      <c r="H209" s="2">
        <v>10</v>
      </c>
      <c r="I209" s="3">
        <v>1.6479509006877335E-2</v>
      </c>
      <c r="J209">
        <f>PRODUCT(Table3[[#This Row],[Price of One Product]],Table3[[#This Row],[No of Products in one Sale]])</f>
        <v>720</v>
      </c>
      <c r="K209" s="6">
        <f>Table3[[#This Row],[Actual Sale]]*(1-Table3[[#This Row],[Discount]])</f>
        <v>708.13475351504837</v>
      </c>
      <c r="L209" t="str">
        <f>TEXT(Table3[[#This Row],[Sale Date]],"dddd")</f>
        <v>Thursday</v>
      </c>
    </row>
    <row r="210" spans="1:12" x14ac:dyDescent="0.3">
      <c r="A210" t="s">
        <v>233</v>
      </c>
      <c r="B210" t="s">
        <v>52</v>
      </c>
      <c r="C210" s="1">
        <v>44739</v>
      </c>
      <c r="D210" t="s">
        <v>60</v>
      </c>
      <c r="E210" t="s">
        <v>66</v>
      </c>
      <c r="F210">
        <v>65</v>
      </c>
      <c r="G210" t="s">
        <v>0</v>
      </c>
      <c r="H210" s="2">
        <v>10</v>
      </c>
      <c r="I210" s="3">
        <v>0.23078123893127422</v>
      </c>
      <c r="J210">
        <f>PRODUCT(Table3[[#This Row],[Price of One Product]],Table3[[#This Row],[No of Products in one Sale]])</f>
        <v>650</v>
      </c>
      <c r="K210" s="6">
        <f>Table3[[#This Row],[Actual Sale]]*(1-Table3[[#This Row],[Discount]])</f>
        <v>499.99219469467175</v>
      </c>
      <c r="L210" t="str">
        <f>TEXT(Table3[[#This Row],[Sale Date]],"dddd")</f>
        <v>Monday</v>
      </c>
    </row>
    <row r="211" spans="1:12" x14ac:dyDescent="0.3">
      <c r="A211" t="s">
        <v>234</v>
      </c>
      <c r="B211" t="s">
        <v>53</v>
      </c>
      <c r="C211" s="1">
        <v>44765</v>
      </c>
      <c r="D211" t="s">
        <v>61</v>
      </c>
      <c r="E211" t="s">
        <v>66</v>
      </c>
      <c r="F211">
        <v>250</v>
      </c>
      <c r="G211" t="s">
        <v>1</v>
      </c>
      <c r="H211" s="2">
        <v>3</v>
      </c>
      <c r="I211" s="3">
        <v>2.2225272121484729E-2</v>
      </c>
      <c r="J211">
        <f>PRODUCT(Table3[[#This Row],[Price of One Product]],Table3[[#This Row],[No of Products in one Sale]])</f>
        <v>750</v>
      </c>
      <c r="K211" s="6">
        <f>Table3[[#This Row],[Actual Sale]]*(1-Table3[[#This Row],[Discount]])</f>
        <v>733.33104590888649</v>
      </c>
      <c r="L211" t="str">
        <f>TEXT(Table3[[#This Row],[Sale Date]],"dddd")</f>
        <v>Saturday</v>
      </c>
    </row>
    <row r="212" spans="1:12" x14ac:dyDescent="0.3">
      <c r="A212" t="s">
        <v>235</v>
      </c>
      <c r="B212" t="s">
        <v>54</v>
      </c>
      <c r="C212" s="1">
        <v>44740</v>
      </c>
      <c r="D212" t="s">
        <v>62</v>
      </c>
      <c r="E212" t="s">
        <v>66</v>
      </c>
      <c r="F212">
        <v>130</v>
      </c>
      <c r="G212" t="s">
        <v>2</v>
      </c>
      <c r="H212" s="2">
        <v>3</v>
      </c>
      <c r="I212" s="3">
        <v>0.72206439626516772</v>
      </c>
      <c r="J212">
        <f>PRODUCT(Table3[[#This Row],[Price of One Product]],Table3[[#This Row],[No of Products in one Sale]])</f>
        <v>390</v>
      </c>
      <c r="K212" s="6">
        <f>Table3[[#This Row],[Actual Sale]]*(1-Table3[[#This Row],[Discount]])</f>
        <v>108.39488545658459</v>
      </c>
      <c r="L212" t="str">
        <f>TEXT(Table3[[#This Row],[Sale Date]],"dddd")</f>
        <v>Tuesday</v>
      </c>
    </row>
    <row r="213" spans="1:12" x14ac:dyDescent="0.3">
      <c r="A213" t="s">
        <v>236</v>
      </c>
      <c r="B213" t="s">
        <v>55</v>
      </c>
      <c r="C213" s="1">
        <v>44734</v>
      </c>
      <c r="D213" t="s">
        <v>63</v>
      </c>
      <c r="E213" t="s">
        <v>66</v>
      </c>
      <c r="F213">
        <v>60</v>
      </c>
      <c r="G213" t="s">
        <v>0</v>
      </c>
      <c r="H213" s="2">
        <v>7</v>
      </c>
      <c r="I213" s="3">
        <v>0.66067744665264683</v>
      </c>
      <c r="J213">
        <f>PRODUCT(Table3[[#This Row],[Price of One Product]],Table3[[#This Row],[No of Products in one Sale]])</f>
        <v>420</v>
      </c>
      <c r="K213" s="6">
        <f>Table3[[#This Row],[Actual Sale]]*(1-Table3[[#This Row],[Discount]])</f>
        <v>142.51547240588835</v>
      </c>
      <c r="L213" t="str">
        <f>TEXT(Table3[[#This Row],[Sale Date]],"dddd")</f>
        <v>Wednesday</v>
      </c>
    </row>
    <row r="214" spans="1:12" x14ac:dyDescent="0.3">
      <c r="A214" t="s">
        <v>237</v>
      </c>
      <c r="B214" t="s">
        <v>51</v>
      </c>
      <c r="C214" s="1">
        <v>44727</v>
      </c>
      <c r="D214" t="s">
        <v>59</v>
      </c>
      <c r="E214" t="s">
        <v>66</v>
      </c>
      <c r="F214">
        <v>72</v>
      </c>
      <c r="G214" t="s">
        <v>1</v>
      </c>
      <c r="H214" s="2">
        <v>6</v>
      </c>
      <c r="I214" s="3">
        <v>0.14048396352986114</v>
      </c>
      <c r="J214">
        <f>PRODUCT(Table3[[#This Row],[Price of One Product]],Table3[[#This Row],[No of Products in one Sale]])</f>
        <v>432</v>
      </c>
      <c r="K214" s="6">
        <f>Table3[[#This Row],[Actual Sale]]*(1-Table3[[#This Row],[Discount]])</f>
        <v>371.31092775510001</v>
      </c>
      <c r="L214" t="str">
        <f>TEXT(Table3[[#This Row],[Sale Date]],"dddd")</f>
        <v>Wednesday</v>
      </c>
    </row>
    <row r="215" spans="1:12" x14ac:dyDescent="0.3">
      <c r="A215" t="s">
        <v>238</v>
      </c>
      <c r="B215" t="s">
        <v>52</v>
      </c>
      <c r="C215" s="1">
        <v>44737</v>
      </c>
      <c r="D215" t="s">
        <v>60</v>
      </c>
      <c r="E215" t="s">
        <v>66</v>
      </c>
      <c r="F215">
        <v>65</v>
      </c>
      <c r="G215" t="s">
        <v>2</v>
      </c>
      <c r="H215" s="2">
        <v>8</v>
      </c>
      <c r="I215" s="3">
        <v>0.37872981249566817</v>
      </c>
      <c r="J215">
        <f>PRODUCT(Table3[[#This Row],[Price of One Product]],Table3[[#This Row],[No of Products in one Sale]])</f>
        <v>520</v>
      </c>
      <c r="K215" s="6">
        <f>Table3[[#This Row],[Actual Sale]]*(1-Table3[[#This Row],[Discount]])</f>
        <v>323.06049750225253</v>
      </c>
      <c r="L215" t="str">
        <f>TEXT(Table3[[#This Row],[Sale Date]],"dddd")</f>
        <v>Saturday</v>
      </c>
    </row>
    <row r="216" spans="1:12" x14ac:dyDescent="0.3">
      <c r="A216" t="s">
        <v>239</v>
      </c>
      <c r="B216" t="s">
        <v>53</v>
      </c>
      <c r="C216" s="1">
        <v>44747</v>
      </c>
      <c r="D216" t="s">
        <v>61</v>
      </c>
      <c r="E216" t="s">
        <v>67</v>
      </c>
      <c r="F216">
        <v>250</v>
      </c>
      <c r="G216" t="s">
        <v>0</v>
      </c>
      <c r="H216" s="2">
        <v>2</v>
      </c>
      <c r="I216" s="3">
        <v>0.71515589694127546</v>
      </c>
      <c r="J216">
        <f>PRODUCT(Table3[[#This Row],[Price of One Product]],Table3[[#This Row],[No of Products in one Sale]])</f>
        <v>500</v>
      </c>
      <c r="K216" s="6">
        <f>Table3[[#This Row],[Actual Sale]]*(1-Table3[[#This Row],[Discount]])</f>
        <v>142.42205152936228</v>
      </c>
      <c r="L216" t="str">
        <f>TEXT(Table3[[#This Row],[Sale Date]],"dddd")</f>
        <v>Tuesday</v>
      </c>
    </row>
    <row r="217" spans="1:12" x14ac:dyDescent="0.3">
      <c r="A217" t="s">
        <v>240</v>
      </c>
      <c r="B217" t="s">
        <v>54</v>
      </c>
      <c r="C217" s="1">
        <v>44754</v>
      </c>
      <c r="D217" t="s">
        <v>62</v>
      </c>
      <c r="E217" t="s">
        <v>66</v>
      </c>
      <c r="F217">
        <v>130</v>
      </c>
      <c r="G217" t="s">
        <v>1</v>
      </c>
      <c r="H217" s="2">
        <v>6</v>
      </c>
      <c r="I217" s="3">
        <v>0.21412519358799298</v>
      </c>
      <c r="J217">
        <f>PRODUCT(Table3[[#This Row],[Price of One Product]],Table3[[#This Row],[No of Products in one Sale]])</f>
        <v>780</v>
      </c>
      <c r="K217" s="6">
        <f>Table3[[#This Row],[Actual Sale]]*(1-Table3[[#This Row],[Discount]])</f>
        <v>612.98234900136549</v>
      </c>
      <c r="L217" t="str">
        <f>TEXT(Table3[[#This Row],[Sale Date]],"dddd")</f>
        <v>Tuesday</v>
      </c>
    </row>
    <row r="218" spans="1:12" x14ac:dyDescent="0.3">
      <c r="A218" t="s">
        <v>241</v>
      </c>
      <c r="B218" t="s">
        <v>51</v>
      </c>
      <c r="C218" s="1">
        <v>44760</v>
      </c>
      <c r="D218" t="s">
        <v>59</v>
      </c>
      <c r="E218" t="s">
        <v>66</v>
      </c>
      <c r="F218">
        <v>72</v>
      </c>
      <c r="G218" t="s">
        <v>2</v>
      </c>
      <c r="H218" s="2">
        <v>6</v>
      </c>
      <c r="I218" s="3">
        <v>0.16455091596073168</v>
      </c>
      <c r="J218">
        <f>PRODUCT(Table3[[#This Row],[Price of One Product]],Table3[[#This Row],[No of Products in one Sale]])</f>
        <v>432</v>
      </c>
      <c r="K218" s="6">
        <f>Table3[[#This Row],[Actual Sale]]*(1-Table3[[#This Row],[Discount]])</f>
        <v>360.9140043049639</v>
      </c>
      <c r="L218" t="str">
        <f>TEXT(Table3[[#This Row],[Sale Date]],"dddd")</f>
        <v>Monday</v>
      </c>
    </row>
    <row r="219" spans="1:12" x14ac:dyDescent="0.3">
      <c r="A219" t="s">
        <v>242</v>
      </c>
      <c r="B219" t="s">
        <v>52</v>
      </c>
      <c r="C219" s="1">
        <v>44759</v>
      </c>
      <c r="D219" t="s">
        <v>60</v>
      </c>
      <c r="E219" t="s">
        <v>66</v>
      </c>
      <c r="F219">
        <v>65</v>
      </c>
      <c r="G219" t="s">
        <v>0</v>
      </c>
      <c r="H219" s="2">
        <v>4</v>
      </c>
      <c r="I219" s="3">
        <v>0.25666907491668522</v>
      </c>
      <c r="J219">
        <f>PRODUCT(Table3[[#This Row],[Price of One Product]],Table3[[#This Row],[No of Products in one Sale]])</f>
        <v>260</v>
      </c>
      <c r="K219" s="6">
        <f>Table3[[#This Row],[Actual Sale]]*(1-Table3[[#This Row],[Discount]])</f>
        <v>193.26604052166184</v>
      </c>
      <c r="L219" t="str">
        <f>TEXT(Table3[[#This Row],[Sale Date]],"dddd")</f>
        <v>Sunday</v>
      </c>
    </row>
    <row r="220" spans="1:12" x14ac:dyDescent="0.3">
      <c r="A220" t="s">
        <v>243</v>
      </c>
      <c r="B220" t="s">
        <v>53</v>
      </c>
      <c r="C220" s="1">
        <v>44735</v>
      </c>
      <c r="D220" t="s">
        <v>61</v>
      </c>
      <c r="E220" t="s">
        <v>66</v>
      </c>
      <c r="F220">
        <v>250</v>
      </c>
      <c r="G220" t="s">
        <v>1</v>
      </c>
      <c r="H220" s="2">
        <v>3</v>
      </c>
      <c r="I220" s="3">
        <v>0.90160231788426648</v>
      </c>
      <c r="J220">
        <f>PRODUCT(Table3[[#This Row],[Price of One Product]],Table3[[#This Row],[No of Products in one Sale]])</f>
        <v>750</v>
      </c>
      <c r="K220" s="6">
        <f>Table3[[#This Row],[Actual Sale]]*(1-Table3[[#This Row],[Discount]])</f>
        <v>73.798261586800137</v>
      </c>
      <c r="L220" t="str">
        <f>TEXT(Table3[[#This Row],[Sale Date]],"dddd")</f>
        <v>Thursday</v>
      </c>
    </row>
    <row r="221" spans="1:12" x14ac:dyDescent="0.3">
      <c r="A221" t="s">
        <v>244</v>
      </c>
      <c r="B221" t="s">
        <v>54</v>
      </c>
      <c r="C221" s="1">
        <v>44734</v>
      </c>
      <c r="D221" t="s">
        <v>62</v>
      </c>
      <c r="E221" t="s">
        <v>66</v>
      </c>
      <c r="F221">
        <v>130</v>
      </c>
      <c r="G221" t="s">
        <v>2</v>
      </c>
      <c r="H221" s="2">
        <v>2</v>
      </c>
      <c r="I221" s="3">
        <v>0.320164833885899</v>
      </c>
      <c r="J221">
        <f>PRODUCT(Table3[[#This Row],[Price of One Product]],Table3[[#This Row],[No of Products in one Sale]])</f>
        <v>260</v>
      </c>
      <c r="K221" s="6">
        <f>Table3[[#This Row],[Actual Sale]]*(1-Table3[[#This Row],[Discount]])</f>
        <v>176.75714318966627</v>
      </c>
      <c r="L221" t="str">
        <f>TEXT(Table3[[#This Row],[Sale Date]],"dddd")</f>
        <v>Wednesday</v>
      </c>
    </row>
    <row r="222" spans="1:12" x14ac:dyDescent="0.3">
      <c r="A222" t="s">
        <v>245</v>
      </c>
      <c r="B222" t="s">
        <v>55</v>
      </c>
      <c r="C222" s="1">
        <v>44753</v>
      </c>
      <c r="D222" t="s">
        <v>63</v>
      </c>
      <c r="E222" t="s">
        <v>67</v>
      </c>
      <c r="F222">
        <v>60</v>
      </c>
      <c r="G222" t="s">
        <v>0</v>
      </c>
      <c r="H222" s="2">
        <v>9</v>
      </c>
      <c r="I222" s="3">
        <v>0.13498450487731639</v>
      </c>
      <c r="J222">
        <f>PRODUCT(Table3[[#This Row],[Price of One Product]],Table3[[#This Row],[No of Products in one Sale]])</f>
        <v>540</v>
      </c>
      <c r="K222" s="6">
        <f>Table3[[#This Row],[Actual Sale]]*(1-Table3[[#This Row],[Discount]])</f>
        <v>467.10836736624913</v>
      </c>
      <c r="L222" t="str">
        <f>TEXT(Table3[[#This Row],[Sale Date]],"dddd")</f>
        <v>Monday</v>
      </c>
    </row>
    <row r="223" spans="1:12" x14ac:dyDescent="0.3">
      <c r="A223" t="s">
        <v>246</v>
      </c>
      <c r="B223" t="s">
        <v>56</v>
      </c>
      <c r="C223" s="1">
        <v>44739</v>
      </c>
      <c r="D223" t="s">
        <v>64</v>
      </c>
      <c r="E223" t="s">
        <v>66</v>
      </c>
      <c r="F223">
        <v>95</v>
      </c>
      <c r="G223" t="s">
        <v>1</v>
      </c>
      <c r="H223" s="2">
        <v>5</v>
      </c>
      <c r="I223" s="3">
        <v>0.91789593738279973</v>
      </c>
      <c r="J223">
        <f>PRODUCT(Table3[[#This Row],[Price of One Product]],Table3[[#This Row],[No of Products in one Sale]])</f>
        <v>475</v>
      </c>
      <c r="K223" s="6">
        <f>Table3[[#This Row],[Actual Sale]]*(1-Table3[[#This Row],[Discount]])</f>
        <v>38.999429743170126</v>
      </c>
      <c r="L223" t="str">
        <f>TEXT(Table3[[#This Row],[Sale Date]],"dddd")</f>
        <v>Monday</v>
      </c>
    </row>
    <row r="224" spans="1:12" x14ac:dyDescent="0.3">
      <c r="A224" t="s">
        <v>247</v>
      </c>
      <c r="B224" t="s">
        <v>51</v>
      </c>
      <c r="C224" s="1">
        <v>44740</v>
      </c>
      <c r="D224" t="s">
        <v>59</v>
      </c>
      <c r="E224" t="s">
        <v>66</v>
      </c>
      <c r="F224">
        <v>72</v>
      </c>
      <c r="G224" t="s">
        <v>2</v>
      </c>
      <c r="H224" s="2">
        <v>3</v>
      </c>
      <c r="I224" s="3">
        <v>0.98021726342122206</v>
      </c>
      <c r="J224">
        <f>PRODUCT(Table3[[#This Row],[Price of One Product]],Table3[[#This Row],[No of Products in one Sale]])</f>
        <v>216</v>
      </c>
      <c r="K224" s="6">
        <f>Table3[[#This Row],[Actual Sale]]*(1-Table3[[#This Row],[Discount]])</f>
        <v>4.2730711010160345</v>
      </c>
      <c r="L224" t="str">
        <f>TEXT(Table3[[#This Row],[Sale Date]],"dddd")</f>
        <v>Tuesday</v>
      </c>
    </row>
    <row r="225" spans="1:12" x14ac:dyDescent="0.3">
      <c r="A225" t="s">
        <v>248</v>
      </c>
      <c r="B225" t="s">
        <v>52</v>
      </c>
      <c r="C225" s="1">
        <v>44748</v>
      </c>
      <c r="D225" t="s">
        <v>60</v>
      </c>
      <c r="E225" t="s">
        <v>66</v>
      </c>
      <c r="F225">
        <v>65</v>
      </c>
      <c r="G225" t="s">
        <v>0</v>
      </c>
      <c r="H225" s="2">
        <v>7</v>
      </c>
      <c r="I225" s="3">
        <v>6.7354248366482961E-2</v>
      </c>
      <c r="J225">
        <f>PRODUCT(Table3[[#This Row],[Price of One Product]],Table3[[#This Row],[No of Products in one Sale]])</f>
        <v>455</v>
      </c>
      <c r="K225" s="6">
        <f>Table3[[#This Row],[Actual Sale]]*(1-Table3[[#This Row],[Discount]])</f>
        <v>424.35381699325023</v>
      </c>
      <c r="L225" t="str">
        <f>TEXT(Table3[[#This Row],[Sale Date]],"dddd")</f>
        <v>Wednesday</v>
      </c>
    </row>
    <row r="226" spans="1:12" x14ac:dyDescent="0.3">
      <c r="A226" t="s">
        <v>249</v>
      </c>
      <c r="B226" t="s">
        <v>53</v>
      </c>
      <c r="C226" s="1">
        <v>44731</v>
      </c>
      <c r="D226" t="s">
        <v>61</v>
      </c>
      <c r="E226" t="s">
        <v>67</v>
      </c>
      <c r="F226">
        <v>250</v>
      </c>
      <c r="G226" t="s">
        <v>1</v>
      </c>
      <c r="H226" s="2">
        <v>2</v>
      </c>
      <c r="I226" s="3">
        <v>0.49907272133883429</v>
      </c>
      <c r="J226">
        <f>PRODUCT(Table3[[#This Row],[Price of One Product]],Table3[[#This Row],[No of Products in one Sale]])</f>
        <v>500</v>
      </c>
      <c r="K226" s="6">
        <f>Table3[[#This Row],[Actual Sale]]*(1-Table3[[#This Row],[Discount]])</f>
        <v>250.46363933058285</v>
      </c>
      <c r="L226" t="str">
        <f>TEXT(Table3[[#This Row],[Sale Date]],"dddd")</f>
        <v>Sunday</v>
      </c>
    </row>
    <row r="227" spans="1:12" x14ac:dyDescent="0.3">
      <c r="A227" t="s">
        <v>250</v>
      </c>
      <c r="B227" t="s">
        <v>54</v>
      </c>
      <c r="C227" s="1">
        <v>44763</v>
      </c>
      <c r="D227" t="s">
        <v>62</v>
      </c>
      <c r="E227" t="s">
        <v>67</v>
      </c>
      <c r="F227">
        <v>130</v>
      </c>
      <c r="G227" t="s">
        <v>2</v>
      </c>
      <c r="H227" s="2">
        <v>5</v>
      </c>
      <c r="I227" s="3">
        <v>0.61466468459589796</v>
      </c>
      <c r="J227">
        <f>PRODUCT(Table3[[#This Row],[Price of One Product]],Table3[[#This Row],[No of Products in one Sale]])</f>
        <v>650</v>
      </c>
      <c r="K227" s="6">
        <f>Table3[[#This Row],[Actual Sale]]*(1-Table3[[#This Row],[Discount]])</f>
        <v>250.46795501266632</v>
      </c>
      <c r="L227" t="str">
        <f>TEXT(Table3[[#This Row],[Sale Date]],"dddd")</f>
        <v>Thursday</v>
      </c>
    </row>
    <row r="228" spans="1:12" x14ac:dyDescent="0.3">
      <c r="A228" t="s">
        <v>251</v>
      </c>
      <c r="B228" t="s">
        <v>51</v>
      </c>
      <c r="C228" s="1">
        <v>44733</v>
      </c>
      <c r="D228" t="s">
        <v>59</v>
      </c>
      <c r="E228" t="s">
        <v>67</v>
      </c>
      <c r="F228">
        <v>72</v>
      </c>
      <c r="G228" t="s">
        <v>0</v>
      </c>
      <c r="H228" s="2">
        <v>7</v>
      </c>
      <c r="I228" s="3">
        <v>0.94639798804768638</v>
      </c>
      <c r="J228">
        <f>PRODUCT(Table3[[#This Row],[Price of One Product]],Table3[[#This Row],[No of Products in one Sale]])</f>
        <v>504</v>
      </c>
      <c r="K228" s="6">
        <f>Table3[[#This Row],[Actual Sale]]*(1-Table3[[#This Row],[Discount]])</f>
        <v>27.015414023966066</v>
      </c>
      <c r="L228" t="str">
        <f>TEXT(Table3[[#This Row],[Sale Date]],"dddd")</f>
        <v>Tuesday</v>
      </c>
    </row>
    <row r="229" spans="1:12" x14ac:dyDescent="0.3">
      <c r="A229" t="s">
        <v>252</v>
      </c>
      <c r="B229" t="s">
        <v>52</v>
      </c>
      <c r="C229" s="1">
        <v>44746</v>
      </c>
      <c r="D229" t="s">
        <v>60</v>
      </c>
      <c r="E229" t="s">
        <v>67</v>
      </c>
      <c r="F229">
        <v>65</v>
      </c>
      <c r="G229" t="s">
        <v>1</v>
      </c>
      <c r="H229" s="2">
        <v>10</v>
      </c>
      <c r="I229" s="3">
        <v>0.95168663838417633</v>
      </c>
      <c r="J229">
        <f>PRODUCT(Table3[[#This Row],[Price of One Product]],Table3[[#This Row],[No of Products in one Sale]])</f>
        <v>650</v>
      </c>
      <c r="K229" s="6">
        <f>Table3[[#This Row],[Actual Sale]]*(1-Table3[[#This Row],[Discount]])</f>
        <v>31.403685050285386</v>
      </c>
      <c r="L229" t="str">
        <f>TEXT(Table3[[#This Row],[Sale Date]],"dddd")</f>
        <v>Monday</v>
      </c>
    </row>
    <row r="230" spans="1:12" x14ac:dyDescent="0.3">
      <c r="A230" t="s">
        <v>253</v>
      </c>
      <c r="B230" t="s">
        <v>53</v>
      </c>
      <c r="C230" s="1">
        <v>44755</v>
      </c>
      <c r="D230" t="s">
        <v>61</v>
      </c>
      <c r="E230" t="s">
        <v>67</v>
      </c>
      <c r="F230">
        <v>250</v>
      </c>
      <c r="G230" t="s">
        <v>2</v>
      </c>
      <c r="H230" s="2">
        <v>2</v>
      </c>
      <c r="I230" s="3">
        <v>0.55958868077394219</v>
      </c>
      <c r="J230">
        <f>PRODUCT(Table3[[#This Row],[Price of One Product]],Table3[[#This Row],[No of Products in one Sale]])</f>
        <v>500</v>
      </c>
      <c r="K230" s="6">
        <f>Table3[[#This Row],[Actual Sale]]*(1-Table3[[#This Row],[Discount]])</f>
        <v>220.2056596130289</v>
      </c>
      <c r="L230" t="str">
        <f>TEXT(Table3[[#This Row],[Sale Date]],"dddd")</f>
        <v>Wednesday</v>
      </c>
    </row>
    <row r="231" spans="1:12" x14ac:dyDescent="0.3">
      <c r="A231" t="s">
        <v>254</v>
      </c>
      <c r="B231" t="s">
        <v>54</v>
      </c>
      <c r="C231" s="1">
        <v>44755</v>
      </c>
      <c r="D231" t="s">
        <v>62</v>
      </c>
      <c r="E231" t="s">
        <v>67</v>
      </c>
      <c r="F231">
        <v>130</v>
      </c>
      <c r="G231" t="s">
        <v>0</v>
      </c>
      <c r="H231" s="2">
        <v>2</v>
      </c>
      <c r="I231" s="3">
        <v>0.81003936677165544</v>
      </c>
      <c r="J231">
        <f>PRODUCT(Table3[[#This Row],[Price of One Product]],Table3[[#This Row],[No of Products in one Sale]])</f>
        <v>260</v>
      </c>
      <c r="K231" s="6">
        <f>Table3[[#This Row],[Actual Sale]]*(1-Table3[[#This Row],[Discount]])</f>
        <v>49.389764639369588</v>
      </c>
      <c r="L231" t="str">
        <f>TEXT(Table3[[#This Row],[Sale Date]],"dddd")</f>
        <v>Wednesday</v>
      </c>
    </row>
    <row r="232" spans="1:12" x14ac:dyDescent="0.3">
      <c r="A232" t="s">
        <v>255</v>
      </c>
      <c r="B232" t="s">
        <v>51</v>
      </c>
      <c r="C232" s="1">
        <v>44727</v>
      </c>
      <c r="D232" t="s">
        <v>59</v>
      </c>
      <c r="E232" t="s">
        <v>67</v>
      </c>
      <c r="F232">
        <v>72</v>
      </c>
      <c r="G232" t="s">
        <v>0</v>
      </c>
      <c r="H232" s="2">
        <v>12</v>
      </c>
      <c r="I232" s="3">
        <v>0.35450072343254235</v>
      </c>
      <c r="J232">
        <f>PRODUCT(Table3[[#This Row],[Price of One Product]],Table3[[#This Row],[No of Products in one Sale]])</f>
        <v>864</v>
      </c>
      <c r="K232" s="6">
        <f>Table3[[#This Row],[Actual Sale]]*(1-Table3[[#This Row],[Discount]])</f>
        <v>557.71137495428343</v>
      </c>
      <c r="L232" t="str">
        <f>TEXT(Table3[[#This Row],[Sale Date]],"dddd")</f>
        <v>Wednesday</v>
      </c>
    </row>
    <row r="233" spans="1:12" x14ac:dyDescent="0.3">
      <c r="A233" t="s">
        <v>256</v>
      </c>
      <c r="B233" t="s">
        <v>52</v>
      </c>
      <c r="C233" s="1">
        <v>44746</v>
      </c>
      <c r="D233" t="s">
        <v>60</v>
      </c>
      <c r="E233" t="s">
        <v>66</v>
      </c>
      <c r="F233">
        <v>65</v>
      </c>
      <c r="G233" t="s">
        <v>1</v>
      </c>
      <c r="H233" s="2">
        <v>11</v>
      </c>
      <c r="I233" s="3">
        <v>0.34895469608332785</v>
      </c>
      <c r="J233">
        <f>PRODUCT(Table3[[#This Row],[Price of One Product]],Table3[[#This Row],[No of Products in one Sale]])</f>
        <v>715</v>
      </c>
      <c r="K233" s="6">
        <f>Table3[[#This Row],[Actual Sale]]*(1-Table3[[#This Row],[Discount]])</f>
        <v>465.49739230042059</v>
      </c>
      <c r="L233" t="str">
        <f>TEXT(Table3[[#This Row],[Sale Date]],"dddd")</f>
        <v>Monday</v>
      </c>
    </row>
    <row r="234" spans="1:12" x14ac:dyDescent="0.3">
      <c r="A234" t="s">
        <v>257</v>
      </c>
      <c r="B234" t="s">
        <v>53</v>
      </c>
      <c r="C234" s="1">
        <v>44740</v>
      </c>
      <c r="D234" t="s">
        <v>61</v>
      </c>
      <c r="E234" t="s">
        <v>66</v>
      </c>
      <c r="F234">
        <v>250</v>
      </c>
      <c r="G234" t="s">
        <v>2</v>
      </c>
      <c r="H234" s="2">
        <v>2</v>
      </c>
      <c r="I234" s="3">
        <v>0.52279578451533193</v>
      </c>
      <c r="J234">
        <f>PRODUCT(Table3[[#This Row],[Price of One Product]],Table3[[#This Row],[No of Products in one Sale]])</f>
        <v>500</v>
      </c>
      <c r="K234" s="6">
        <f>Table3[[#This Row],[Actual Sale]]*(1-Table3[[#This Row],[Discount]])</f>
        <v>238.60210774233403</v>
      </c>
      <c r="L234" t="str">
        <f>TEXT(Table3[[#This Row],[Sale Date]],"dddd")</f>
        <v>Tuesday</v>
      </c>
    </row>
    <row r="235" spans="1:12" x14ac:dyDescent="0.3">
      <c r="A235" t="s">
        <v>258</v>
      </c>
      <c r="B235" t="s">
        <v>54</v>
      </c>
      <c r="C235" s="1">
        <v>44743</v>
      </c>
      <c r="D235" t="s">
        <v>62</v>
      </c>
      <c r="E235" t="s">
        <v>66</v>
      </c>
      <c r="F235">
        <v>130</v>
      </c>
      <c r="G235" t="s">
        <v>0</v>
      </c>
      <c r="H235" s="2">
        <v>3</v>
      </c>
      <c r="I235" s="3">
        <v>0.69617887937852907</v>
      </c>
      <c r="J235">
        <f>PRODUCT(Table3[[#This Row],[Price of One Product]],Table3[[#This Row],[No of Products in one Sale]])</f>
        <v>390</v>
      </c>
      <c r="K235" s="6">
        <f>Table3[[#This Row],[Actual Sale]]*(1-Table3[[#This Row],[Discount]])</f>
        <v>118.49023704237366</v>
      </c>
      <c r="L235" t="str">
        <f>TEXT(Table3[[#This Row],[Sale Date]],"dddd")</f>
        <v>Friday</v>
      </c>
    </row>
    <row r="236" spans="1:12" x14ac:dyDescent="0.3">
      <c r="A236" t="s">
        <v>259</v>
      </c>
      <c r="B236" t="s">
        <v>51</v>
      </c>
      <c r="C236" s="1">
        <v>44737</v>
      </c>
      <c r="D236" t="s">
        <v>59</v>
      </c>
      <c r="E236" t="s">
        <v>67</v>
      </c>
      <c r="F236">
        <v>72</v>
      </c>
      <c r="G236" t="s">
        <v>1</v>
      </c>
      <c r="H236" s="2">
        <v>6</v>
      </c>
      <c r="I236" s="3">
        <v>0.55638354082081654</v>
      </c>
      <c r="J236">
        <f>PRODUCT(Table3[[#This Row],[Price of One Product]],Table3[[#This Row],[No of Products in one Sale]])</f>
        <v>432</v>
      </c>
      <c r="K236" s="6">
        <f>Table3[[#This Row],[Actual Sale]]*(1-Table3[[#This Row],[Discount]])</f>
        <v>191.64231036540727</v>
      </c>
      <c r="L236" t="str">
        <f>TEXT(Table3[[#This Row],[Sale Date]],"dddd")</f>
        <v>Saturday</v>
      </c>
    </row>
    <row r="237" spans="1:12" x14ac:dyDescent="0.3">
      <c r="A237" t="s">
        <v>260</v>
      </c>
      <c r="B237" t="s">
        <v>52</v>
      </c>
      <c r="C237" s="1">
        <v>44757</v>
      </c>
      <c r="D237" t="s">
        <v>60</v>
      </c>
      <c r="E237" t="s">
        <v>67</v>
      </c>
      <c r="F237">
        <v>65</v>
      </c>
      <c r="G237" t="s">
        <v>2</v>
      </c>
      <c r="H237" s="2">
        <v>8</v>
      </c>
      <c r="I237" s="3">
        <v>7.8132692098414003E-2</v>
      </c>
      <c r="J237">
        <f>PRODUCT(Table3[[#This Row],[Price of One Product]],Table3[[#This Row],[No of Products in one Sale]])</f>
        <v>520</v>
      </c>
      <c r="K237" s="6">
        <f>Table3[[#This Row],[Actual Sale]]*(1-Table3[[#This Row],[Discount]])</f>
        <v>479.37100010882472</v>
      </c>
      <c r="L237" t="str">
        <f>TEXT(Table3[[#This Row],[Sale Date]],"dddd")</f>
        <v>Friday</v>
      </c>
    </row>
    <row r="238" spans="1:12" x14ac:dyDescent="0.3">
      <c r="A238" t="s">
        <v>261</v>
      </c>
      <c r="B238" t="s">
        <v>53</v>
      </c>
      <c r="C238" s="1">
        <v>44745</v>
      </c>
      <c r="D238" t="s">
        <v>61</v>
      </c>
      <c r="E238" t="s">
        <v>67</v>
      </c>
      <c r="F238">
        <v>250</v>
      </c>
      <c r="G238" t="s">
        <v>0</v>
      </c>
      <c r="H238" s="2">
        <v>1</v>
      </c>
      <c r="I238" s="3">
        <v>0.37783112687678633</v>
      </c>
      <c r="J238">
        <f>PRODUCT(Table3[[#This Row],[Price of One Product]],Table3[[#This Row],[No of Products in one Sale]])</f>
        <v>250</v>
      </c>
      <c r="K238" s="6">
        <f>Table3[[#This Row],[Actual Sale]]*(1-Table3[[#This Row],[Discount]])</f>
        <v>155.54221828080341</v>
      </c>
      <c r="L238" t="str">
        <f>TEXT(Table3[[#This Row],[Sale Date]],"dddd")</f>
        <v>Sunday</v>
      </c>
    </row>
    <row r="239" spans="1:12" x14ac:dyDescent="0.3">
      <c r="A239" t="s">
        <v>262</v>
      </c>
      <c r="B239" t="s">
        <v>54</v>
      </c>
      <c r="C239" s="1">
        <v>44760</v>
      </c>
      <c r="D239" t="s">
        <v>62</v>
      </c>
      <c r="E239" t="s">
        <v>67</v>
      </c>
      <c r="F239">
        <v>130</v>
      </c>
      <c r="G239" t="s">
        <v>1</v>
      </c>
      <c r="H239" s="2">
        <v>7</v>
      </c>
      <c r="I239" s="3">
        <v>0.34200944354303275</v>
      </c>
      <c r="J239">
        <f>PRODUCT(Table3[[#This Row],[Price of One Product]],Table3[[#This Row],[No of Products in one Sale]])</f>
        <v>910</v>
      </c>
      <c r="K239" s="6">
        <f>Table3[[#This Row],[Actual Sale]]*(1-Table3[[#This Row],[Discount]])</f>
        <v>598.77140637584023</v>
      </c>
      <c r="L239" t="str">
        <f>TEXT(Table3[[#This Row],[Sale Date]],"dddd")</f>
        <v>Monday</v>
      </c>
    </row>
    <row r="240" spans="1:12" x14ac:dyDescent="0.3">
      <c r="A240" t="s">
        <v>263</v>
      </c>
      <c r="B240" t="s">
        <v>55</v>
      </c>
      <c r="C240" s="1">
        <v>44750</v>
      </c>
      <c r="D240" t="s">
        <v>63</v>
      </c>
      <c r="E240" t="s">
        <v>67</v>
      </c>
      <c r="F240">
        <v>60</v>
      </c>
      <c r="G240" t="s">
        <v>2</v>
      </c>
      <c r="H240" s="2">
        <v>11</v>
      </c>
      <c r="I240" s="3">
        <v>0.92737976442865855</v>
      </c>
      <c r="J240">
        <f>PRODUCT(Table3[[#This Row],[Price of One Product]],Table3[[#This Row],[No of Products in one Sale]])</f>
        <v>660</v>
      </c>
      <c r="K240" s="6">
        <f>Table3[[#This Row],[Actual Sale]]*(1-Table3[[#This Row],[Discount]])</f>
        <v>47.929355477085359</v>
      </c>
      <c r="L240" t="str">
        <f>TEXT(Table3[[#This Row],[Sale Date]],"dddd")</f>
        <v>Friday</v>
      </c>
    </row>
    <row r="241" spans="1:12" x14ac:dyDescent="0.3">
      <c r="A241" t="s">
        <v>264</v>
      </c>
      <c r="B241" t="s">
        <v>51</v>
      </c>
      <c r="C241" s="1">
        <v>44742</v>
      </c>
      <c r="D241" t="s">
        <v>59</v>
      </c>
      <c r="E241" t="s">
        <v>67</v>
      </c>
      <c r="F241">
        <v>72</v>
      </c>
      <c r="G241" t="s">
        <v>0</v>
      </c>
      <c r="H241" s="2">
        <v>6</v>
      </c>
      <c r="I241" s="3">
        <v>0.96938667185148797</v>
      </c>
      <c r="J241">
        <f>PRODUCT(Table3[[#This Row],[Price of One Product]],Table3[[#This Row],[No of Products in one Sale]])</f>
        <v>432</v>
      </c>
      <c r="K241" s="6">
        <f>Table3[[#This Row],[Actual Sale]]*(1-Table3[[#This Row],[Discount]])</f>
        <v>13.224957760157197</v>
      </c>
      <c r="L241" t="str">
        <f>TEXT(Table3[[#This Row],[Sale Date]],"dddd")</f>
        <v>Thursday</v>
      </c>
    </row>
    <row r="242" spans="1:12" x14ac:dyDescent="0.3">
      <c r="A242" t="s">
        <v>265</v>
      </c>
      <c r="B242" t="s">
        <v>52</v>
      </c>
      <c r="C242" s="1">
        <v>44754</v>
      </c>
      <c r="D242" t="s">
        <v>60</v>
      </c>
      <c r="E242" t="s">
        <v>67</v>
      </c>
      <c r="F242">
        <v>65</v>
      </c>
      <c r="G242" t="s">
        <v>1</v>
      </c>
      <c r="H242" s="2">
        <v>6</v>
      </c>
      <c r="I242" s="3">
        <v>0.24406307827004359</v>
      </c>
      <c r="J242">
        <f>PRODUCT(Table3[[#This Row],[Price of One Product]],Table3[[#This Row],[No of Products in one Sale]])</f>
        <v>390</v>
      </c>
      <c r="K242" s="6">
        <f>Table3[[#This Row],[Actual Sale]]*(1-Table3[[#This Row],[Discount]])</f>
        <v>294.81539947468298</v>
      </c>
      <c r="L242" t="str">
        <f>TEXT(Table3[[#This Row],[Sale Date]],"dddd")</f>
        <v>Tuesday</v>
      </c>
    </row>
    <row r="243" spans="1:12" x14ac:dyDescent="0.3">
      <c r="A243" t="s">
        <v>266</v>
      </c>
      <c r="B243" t="s">
        <v>53</v>
      </c>
      <c r="C243" s="1">
        <v>44746</v>
      </c>
      <c r="D243" t="s">
        <v>61</v>
      </c>
      <c r="E243" t="s">
        <v>66</v>
      </c>
      <c r="F243">
        <v>250</v>
      </c>
      <c r="G243" t="s">
        <v>2</v>
      </c>
      <c r="H243" s="2">
        <v>2</v>
      </c>
      <c r="I243" s="3">
        <v>0.931057824254786</v>
      </c>
      <c r="J243">
        <f>PRODUCT(Table3[[#This Row],[Price of One Product]],Table3[[#This Row],[No of Products in one Sale]])</f>
        <v>500</v>
      </c>
      <c r="K243" s="6">
        <f>Table3[[#This Row],[Actual Sale]]*(1-Table3[[#This Row],[Discount]])</f>
        <v>34.471087872607001</v>
      </c>
      <c r="L243" t="str">
        <f>TEXT(Table3[[#This Row],[Sale Date]],"dddd")</f>
        <v>Monday</v>
      </c>
    </row>
    <row r="244" spans="1:12" x14ac:dyDescent="0.3">
      <c r="A244" t="s">
        <v>267</v>
      </c>
      <c r="B244" t="s">
        <v>54</v>
      </c>
      <c r="C244" s="1">
        <v>44752</v>
      </c>
      <c r="D244" t="s">
        <v>62</v>
      </c>
      <c r="E244" t="s">
        <v>66</v>
      </c>
      <c r="F244">
        <v>130</v>
      </c>
      <c r="G244" t="s">
        <v>0</v>
      </c>
      <c r="H244" s="2">
        <v>4</v>
      </c>
      <c r="I244" s="3">
        <v>0.67570229189541975</v>
      </c>
      <c r="J244">
        <f>PRODUCT(Table3[[#This Row],[Price of One Product]],Table3[[#This Row],[No of Products in one Sale]])</f>
        <v>520</v>
      </c>
      <c r="K244" s="6">
        <f>Table3[[#This Row],[Actual Sale]]*(1-Table3[[#This Row],[Discount]])</f>
        <v>168.63480821438174</v>
      </c>
      <c r="L244" t="str">
        <f>TEXT(Table3[[#This Row],[Sale Date]],"dddd")</f>
        <v>Sunday</v>
      </c>
    </row>
    <row r="245" spans="1:12" x14ac:dyDescent="0.3">
      <c r="A245" t="s">
        <v>268</v>
      </c>
      <c r="B245" t="s">
        <v>51</v>
      </c>
      <c r="C245" s="1">
        <v>44725</v>
      </c>
      <c r="D245" t="s">
        <v>59</v>
      </c>
      <c r="E245" t="s">
        <v>66</v>
      </c>
      <c r="F245">
        <v>72</v>
      </c>
      <c r="G245" t="s">
        <v>1</v>
      </c>
      <c r="H245" s="2">
        <v>7</v>
      </c>
      <c r="I245" s="3">
        <v>0.91192982577548221</v>
      </c>
      <c r="J245">
        <f>PRODUCT(Table3[[#This Row],[Price of One Product]],Table3[[#This Row],[No of Products in one Sale]])</f>
        <v>504</v>
      </c>
      <c r="K245" s="6">
        <f>Table3[[#This Row],[Actual Sale]]*(1-Table3[[#This Row],[Discount]])</f>
        <v>44.38736780915697</v>
      </c>
      <c r="L245" t="str">
        <f>TEXT(Table3[[#This Row],[Sale Date]],"dddd")</f>
        <v>Monday</v>
      </c>
    </row>
    <row r="246" spans="1:12" x14ac:dyDescent="0.3">
      <c r="A246" t="s">
        <v>269</v>
      </c>
      <c r="B246" t="s">
        <v>52</v>
      </c>
      <c r="C246" s="1">
        <v>44734</v>
      </c>
      <c r="D246" t="s">
        <v>60</v>
      </c>
      <c r="E246" t="s">
        <v>67</v>
      </c>
      <c r="F246">
        <v>65</v>
      </c>
      <c r="G246" t="s">
        <v>2</v>
      </c>
      <c r="H246" s="2">
        <v>13</v>
      </c>
      <c r="I246" s="3">
        <v>0.46313611506175134</v>
      </c>
      <c r="J246">
        <f>PRODUCT(Table3[[#This Row],[Price of One Product]],Table3[[#This Row],[No of Products in one Sale]])</f>
        <v>845</v>
      </c>
      <c r="K246" s="6">
        <f>Table3[[#This Row],[Actual Sale]]*(1-Table3[[#This Row],[Discount]])</f>
        <v>453.64998277282012</v>
      </c>
      <c r="L246" t="str">
        <f>TEXT(Table3[[#This Row],[Sale Date]],"dddd")</f>
        <v>Wednesday</v>
      </c>
    </row>
    <row r="247" spans="1:12" x14ac:dyDescent="0.3">
      <c r="A247" t="s">
        <v>270</v>
      </c>
      <c r="B247" t="s">
        <v>53</v>
      </c>
      <c r="C247" s="1">
        <v>44761</v>
      </c>
      <c r="D247" t="s">
        <v>61</v>
      </c>
      <c r="E247" t="s">
        <v>67</v>
      </c>
      <c r="F247">
        <v>250</v>
      </c>
      <c r="G247" t="s">
        <v>0</v>
      </c>
      <c r="H247" s="2">
        <v>1</v>
      </c>
      <c r="I247" s="3">
        <v>5.3530222562513607E-2</v>
      </c>
      <c r="J247">
        <f>PRODUCT(Table3[[#This Row],[Price of One Product]],Table3[[#This Row],[No of Products in one Sale]])</f>
        <v>250</v>
      </c>
      <c r="K247" s="6">
        <f>Table3[[#This Row],[Actual Sale]]*(1-Table3[[#This Row],[Discount]])</f>
        <v>236.6174443593716</v>
      </c>
      <c r="L247" t="str">
        <f>TEXT(Table3[[#This Row],[Sale Date]],"dddd")</f>
        <v>Tuesday</v>
      </c>
    </row>
    <row r="248" spans="1:12" x14ac:dyDescent="0.3">
      <c r="A248" t="s">
        <v>271</v>
      </c>
      <c r="B248" t="s">
        <v>54</v>
      </c>
      <c r="C248" s="1">
        <v>44735</v>
      </c>
      <c r="D248" t="s">
        <v>62</v>
      </c>
      <c r="E248" t="s">
        <v>67</v>
      </c>
      <c r="F248">
        <v>130</v>
      </c>
      <c r="G248" t="s">
        <v>1</v>
      </c>
      <c r="H248" s="2">
        <v>2</v>
      </c>
      <c r="I248" s="3">
        <v>0.10135414856508229</v>
      </c>
      <c r="J248">
        <f>PRODUCT(Table3[[#This Row],[Price of One Product]],Table3[[#This Row],[No of Products in one Sale]])</f>
        <v>260</v>
      </c>
      <c r="K248" s="6">
        <f>Table3[[#This Row],[Actual Sale]]*(1-Table3[[#This Row],[Discount]])</f>
        <v>233.64792137307862</v>
      </c>
      <c r="L248" t="str">
        <f>TEXT(Table3[[#This Row],[Sale Date]],"dddd")</f>
        <v>Thursday</v>
      </c>
    </row>
    <row r="249" spans="1:12" x14ac:dyDescent="0.3">
      <c r="A249" t="s">
        <v>272</v>
      </c>
      <c r="B249" t="s">
        <v>55</v>
      </c>
      <c r="C249" s="1">
        <v>44753</v>
      </c>
      <c r="D249" t="s">
        <v>63</v>
      </c>
      <c r="E249" t="s">
        <v>67</v>
      </c>
      <c r="F249">
        <v>60</v>
      </c>
      <c r="G249" t="s">
        <v>2</v>
      </c>
      <c r="H249" s="2">
        <v>10</v>
      </c>
      <c r="I249" s="3">
        <v>0.15413196820236597</v>
      </c>
      <c r="J249">
        <f>PRODUCT(Table3[[#This Row],[Price of One Product]],Table3[[#This Row],[No of Products in one Sale]])</f>
        <v>600</v>
      </c>
      <c r="K249" s="6">
        <f>Table3[[#This Row],[Actual Sale]]*(1-Table3[[#This Row],[Discount]])</f>
        <v>507.52081907858042</v>
      </c>
      <c r="L249" t="str">
        <f>TEXT(Table3[[#This Row],[Sale Date]],"dddd")</f>
        <v>Monday</v>
      </c>
    </row>
    <row r="250" spans="1:12" x14ac:dyDescent="0.3">
      <c r="A250" t="s">
        <v>273</v>
      </c>
      <c r="B250" t="s">
        <v>56</v>
      </c>
      <c r="C250" s="1">
        <v>44732</v>
      </c>
      <c r="D250" t="s">
        <v>64</v>
      </c>
      <c r="E250" t="s">
        <v>67</v>
      </c>
      <c r="F250">
        <v>95</v>
      </c>
      <c r="G250" t="s">
        <v>0</v>
      </c>
      <c r="H250" s="2">
        <v>4</v>
      </c>
      <c r="I250" s="3">
        <v>0.99147229272651061</v>
      </c>
      <c r="J250">
        <f>PRODUCT(Table3[[#This Row],[Price of One Product]],Table3[[#This Row],[No of Products in one Sale]])</f>
        <v>380</v>
      </c>
      <c r="K250" s="6">
        <f>Table3[[#This Row],[Actual Sale]]*(1-Table3[[#This Row],[Discount]])</f>
        <v>3.2405287639259694</v>
      </c>
      <c r="L250" t="str">
        <f>TEXT(Table3[[#This Row],[Sale Date]],"dddd")</f>
        <v>Monday</v>
      </c>
    </row>
    <row r="251" spans="1:12" x14ac:dyDescent="0.3">
      <c r="A251" t="s">
        <v>274</v>
      </c>
      <c r="B251" t="s">
        <v>51</v>
      </c>
      <c r="C251" s="1">
        <v>44748</v>
      </c>
      <c r="D251" t="s">
        <v>59</v>
      </c>
      <c r="E251" t="s">
        <v>67</v>
      </c>
      <c r="F251">
        <v>72</v>
      </c>
      <c r="G251" t="s">
        <v>1</v>
      </c>
      <c r="H251" s="2">
        <v>4</v>
      </c>
      <c r="I251" s="3">
        <v>0.26792541838229555</v>
      </c>
      <c r="J251">
        <f>PRODUCT(Table3[[#This Row],[Price of One Product]],Table3[[#This Row],[No of Products in one Sale]])</f>
        <v>288</v>
      </c>
      <c r="K251" s="6">
        <f>Table3[[#This Row],[Actual Sale]]*(1-Table3[[#This Row],[Discount]])</f>
        <v>210.83747950589887</v>
      </c>
      <c r="L251" t="str">
        <f>TEXT(Table3[[#This Row],[Sale Date]],"dddd")</f>
        <v>Wednesday</v>
      </c>
    </row>
    <row r="252" spans="1:12" x14ac:dyDescent="0.3">
      <c r="A252" t="s">
        <v>275</v>
      </c>
      <c r="B252" t="s">
        <v>52</v>
      </c>
      <c r="C252" s="1">
        <v>44731</v>
      </c>
      <c r="D252" t="s">
        <v>60</v>
      </c>
      <c r="E252" t="s">
        <v>67</v>
      </c>
      <c r="F252">
        <v>65</v>
      </c>
      <c r="G252" t="s">
        <v>2</v>
      </c>
      <c r="H252" s="2">
        <v>7</v>
      </c>
      <c r="I252" s="3">
        <v>0.67400237007588726</v>
      </c>
      <c r="J252">
        <f>PRODUCT(Table3[[#This Row],[Price of One Product]],Table3[[#This Row],[No of Products in one Sale]])</f>
        <v>455</v>
      </c>
      <c r="K252" s="6">
        <f>Table3[[#This Row],[Actual Sale]]*(1-Table3[[#This Row],[Discount]])</f>
        <v>148.3289216154713</v>
      </c>
      <c r="L252" t="str">
        <f>TEXT(Table3[[#This Row],[Sale Date]],"dddd")</f>
        <v>Sunday</v>
      </c>
    </row>
    <row r="253" spans="1:12" x14ac:dyDescent="0.3">
      <c r="A253" t="s">
        <v>276</v>
      </c>
      <c r="B253" t="s">
        <v>53</v>
      </c>
      <c r="C253" s="1">
        <v>44725</v>
      </c>
      <c r="D253" t="s">
        <v>61</v>
      </c>
      <c r="E253" t="s">
        <v>66</v>
      </c>
      <c r="F253">
        <v>250</v>
      </c>
      <c r="G253" t="s">
        <v>0</v>
      </c>
      <c r="H253" s="2">
        <v>2</v>
      </c>
      <c r="I253" s="3">
        <v>0.10779012567415547</v>
      </c>
      <c r="J253">
        <f>PRODUCT(Table3[[#This Row],[Price of One Product]],Table3[[#This Row],[No of Products in one Sale]])</f>
        <v>500</v>
      </c>
      <c r="K253" s="6">
        <f>Table3[[#This Row],[Actual Sale]]*(1-Table3[[#This Row],[Discount]])</f>
        <v>446.10493716292228</v>
      </c>
      <c r="L253" t="str">
        <f>TEXT(Table3[[#This Row],[Sale Date]],"dddd")</f>
        <v>Monday</v>
      </c>
    </row>
    <row r="254" spans="1:12" x14ac:dyDescent="0.3">
      <c r="A254" t="s">
        <v>277</v>
      </c>
      <c r="B254" t="s">
        <v>54</v>
      </c>
      <c r="C254" s="1">
        <v>44753</v>
      </c>
      <c r="D254" t="s">
        <v>62</v>
      </c>
      <c r="E254" t="s">
        <v>66</v>
      </c>
      <c r="F254">
        <v>130</v>
      </c>
      <c r="G254" t="s">
        <v>1</v>
      </c>
      <c r="H254" s="2">
        <v>4</v>
      </c>
      <c r="I254" s="3">
        <v>6.5825812137458972E-2</v>
      </c>
      <c r="J254">
        <f>PRODUCT(Table3[[#This Row],[Price of One Product]],Table3[[#This Row],[No of Products in one Sale]])</f>
        <v>520</v>
      </c>
      <c r="K254" s="6">
        <f>Table3[[#This Row],[Actual Sale]]*(1-Table3[[#This Row],[Discount]])</f>
        <v>485.77057768852131</v>
      </c>
      <c r="L254" t="str">
        <f>TEXT(Table3[[#This Row],[Sale Date]],"dddd")</f>
        <v>Monday</v>
      </c>
    </row>
    <row r="255" spans="1:12" x14ac:dyDescent="0.3">
      <c r="A255" t="s">
        <v>278</v>
      </c>
      <c r="B255" t="s">
        <v>51</v>
      </c>
      <c r="C255" s="1">
        <v>44738</v>
      </c>
      <c r="D255" t="s">
        <v>59</v>
      </c>
      <c r="E255" t="s">
        <v>66</v>
      </c>
      <c r="F255">
        <v>72</v>
      </c>
      <c r="G255" t="s">
        <v>2</v>
      </c>
      <c r="H255" s="2">
        <v>11</v>
      </c>
      <c r="I255" s="3">
        <v>0.36167362480508147</v>
      </c>
      <c r="J255">
        <f>PRODUCT(Table3[[#This Row],[Price of One Product]],Table3[[#This Row],[No of Products in one Sale]])</f>
        <v>792</v>
      </c>
      <c r="K255" s="6">
        <f>Table3[[#This Row],[Actual Sale]]*(1-Table3[[#This Row],[Discount]])</f>
        <v>505.55448915437546</v>
      </c>
      <c r="L255" t="str">
        <f>TEXT(Table3[[#This Row],[Sale Date]],"dddd")</f>
        <v>Sunday</v>
      </c>
    </row>
    <row r="256" spans="1:12" x14ac:dyDescent="0.3">
      <c r="A256" t="s">
        <v>279</v>
      </c>
      <c r="B256" t="s">
        <v>52</v>
      </c>
      <c r="C256" s="1">
        <v>44762</v>
      </c>
      <c r="D256" t="s">
        <v>60</v>
      </c>
      <c r="E256" t="s">
        <v>67</v>
      </c>
      <c r="F256">
        <v>65</v>
      </c>
      <c r="G256" t="s">
        <v>0</v>
      </c>
      <c r="H256" s="2">
        <v>9</v>
      </c>
      <c r="I256" s="3">
        <v>0.15611277710708626</v>
      </c>
      <c r="J256">
        <f>PRODUCT(Table3[[#This Row],[Price of One Product]],Table3[[#This Row],[No of Products in one Sale]])</f>
        <v>585</v>
      </c>
      <c r="K256" s="6">
        <f>Table3[[#This Row],[Actual Sale]]*(1-Table3[[#This Row],[Discount]])</f>
        <v>493.67402539235451</v>
      </c>
      <c r="L256" t="str">
        <f>TEXT(Table3[[#This Row],[Sale Date]],"dddd")</f>
        <v>Wednesday</v>
      </c>
    </row>
    <row r="257" spans="1:12" x14ac:dyDescent="0.3">
      <c r="A257" t="s">
        <v>280</v>
      </c>
      <c r="B257" t="s">
        <v>53</v>
      </c>
      <c r="C257" s="1">
        <v>44756</v>
      </c>
      <c r="D257" t="s">
        <v>61</v>
      </c>
      <c r="E257" t="s">
        <v>67</v>
      </c>
      <c r="F257">
        <v>250</v>
      </c>
      <c r="G257" t="s">
        <v>1</v>
      </c>
      <c r="H257" s="2">
        <v>2</v>
      </c>
      <c r="I257" s="3">
        <v>0.11892962947938523</v>
      </c>
      <c r="J257">
        <f>PRODUCT(Table3[[#This Row],[Price of One Product]],Table3[[#This Row],[No of Products in one Sale]])</f>
        <v>500</v>
      </c>
      <c r="K257" s="6">
        <f>Table3[[#This Row],[Actual Sale]]*(1-Table3[[#This Row],[Discount]])</f>
        <v>440.5351852603074</v>
      </c>
      <c r="L257" t="str">
        <f>TEXT(Table3[[#This Row],[Sale Date]],"dddd")</f>
        <v>Thursday</v>
      </c>
    </row>
    <row r="258" spans="1:12" x14ac:dyDescent="0.3">
      <c r="A258" t="s">
        <v>281</v>
      </c>
      <c r="B258" t="s">
        <v>54</v>
      </c>
      <c r="C258" s="1">
        <v>44744</v>
      </c>
      <c r="D258" t="s">
        <v>62</v>
      </c>
      <c r="E258" t="s">
        <v>67</v>
      </c>
      <c r="F258">
        <v>130</v>
      </c>
      <c r="G258" t="s">
        <v>2</v>
      </c>
      <c r="H258" s="2">
        <v>5</v>
      </c>
      <c r="I258" s="3">
        <v>0.94178498482348294</v>
      </c>
      <c r="J258">
        <f>PRODUCT(Table3[[#This Row],[Price of One Product]],Table3[[#This Row],[No of Products in one Sale]])</f>
        <v>650</v>
      </c>
      <c r="K258" s="6">
        <f>Table3[[#This Row],[Actual Sale]]*(1-Table3[[#This Row],[Discount]])</f>
        <v>37.839759864736088</v>
      </c>
      <c r="L258" t="str">
        <f>TEXT(Table3[[#This Row],[Sale Date]],"dddd")</f>
        <v>Saturday</v>
      </c>
    </row>
    <row r="259" spans="1:12" x14ac:dyDescent="0.3">
      <c r="A259" t="s">
        <v>282</v>
      </c>
      <c r="B259" t="s">
        <v>55</v>
      </c>
      <c r="C259" s="1">
        <v>44753</v>
      </c>
      <c r="D259" t="s">
        <v>63</v>
      </c>
      <c r="E259" t="s">
        <v>67</v>
      </c>
      <c r="F259">
        <v>60</v>
      </c>
      <c r="G259" t="s">
        <v>0</v>
      </c>
      <c r="H259" s="2">
        <v>5</v>
      </c>
      <c r="I259" s="3">
        <v>0.82224390590219021</v>
      </c>
      <c r="J259">
        <f>PRODUCT(Table3[[#This Row],[Price of One Product]],Table3[[#This Row],[No of Products in one Sale]])</f>
        <v>300</v>
      </c>
      <c r="K259" s="6">
        <f>Table3[[#This Row],[Actual Sale]]*(1-Table3[[#This Row],[Discount]])</f>
        <v>53.326828229342937</v>
      </c>
      <c r="L259" t="str">
        <f>TEXT(Table3[[#This Row],[Sale Date]],"dddd")</f>
        <v>Monday</v>
      </c>
    </row>
    <row r="260" spans="1:12" x14ac:dyDescent="0.3">
      <c r="A260" t="s">
        <v>283</v>
      </c>
      <c r="B260" t="s">
        <v>51</v>
      </c>
      <c r="C260" s="1">
        <v>44762</v>
      </c>
      <c r="D260" t="s">
        <v>59</v>
      </c>
      <c r="E260" t="s">
        <v>67</v>
      </c>
      <c r="F260">
        <v>72</v>
      </c>
      <c r="G260" t="s">
        <v>1</v>
      </c>
      <c r="H260" s="2">
        <v>10</v>
      </c>
      <c r="I260" s="3">
        <v>1.5473035826796155E-2</v>
      </c>
      <c r="J260">
        <f>PRODUCT(Table3[[#This Row],[Price of One Product]],Table3[[#This Row],[No of Products in one Sale]])</f>
        <v>720</v>
      </c>
      <c r="K260" s="6">
        <f>Table3[[#This Row],[Actual Sale]]*(1-Table3[[#This Row],[Discount]])</f>
        <v>708.85941420470681</v>
      </c>
      <c r="L260" t="str">
        <f>TEXT(Table3[[#This Row],[Sale Date]],"dddd")</f>
        <v>Wednesday</v>
      </c>
    </row>
    <row r="261" spans="1:12" x14ac:dyDescent="0.3">
      <c r="A261" t="s">
        <v>284</v>
      </c>
      <c r="B261" t="s">
        <v>52</v>
      </c>
      <c r="C261" s="1">
        <v>44740</v>
      </c>
      <c r="D261" t="s">
        <v>60</v>
      </c>
      <c r="E261" t="s">
        <v>67</v>
      </c>
      <c r="F261">
        <v>65</v>
      </c>
      <c r="G261" t="s">
        <v>2</v>
      </c>
      <c r="H261" s="2">
        <v>3</v>
      </c>
      <c r="I261" s="3">
        <v>0.57002189482885535</v>
      </c>
      <c r="J261">
        <f>PRODUCT(Table3[[#This Row],[Price of One Product]],Table3[[#This Row],[No of Products in one Sale]])</f>
        <v>195</v>
      </c>
      <c r="K261" s="6">
        <f>Table3[[#This Row],[Actual Sale]]*(1-Table3[[#This Row],[Discount]])</f>
        <v>83.845730508373208</v>
      </c>
      <c r="L261" t="str">
        <f>TEXT(Table3[[#This Row],[Sale Date]],"dddd")</f>
        <v>Tuesday</v>
      </c>
    </row>
    <row r="262" spans="1:12" x14ac:dyDescent="0.3">
      <c r="A262" t="s">
        <v>285</v>
      </c>
      <c r="B262" t="s">
        <v>53</v>
      </c>
      <c r="C262" s="1">
        <v>44729</v>
      </c>
      <c r="D262" t="s">
        <v>61</v>
      </c>
      <c r="E262" t="s">
        <v>66</v>
      </c>
      <c r="F262">
        <v>250</v>
      </c>
      <c r="G262" t="s">
        <v>0</v>
      </c>
      <c r="H262" s="2">
        <v>3</v>
      </c>
      <c r="I262" s="3">
        <v>0.22169123462523532</v>
      </c>
      <c r="J262">
        <f>PRODUCT(Table3[[#This Row],[Price of One Product]],Table3[[#This Row],[No of Products in one Sale]])</f>
        <v>750</v>
      </c>
      <c r="K262" s="6">
        <f>Table3[[#This Row],[Actual Sale]]*(1-Table3[[#This Row],[Discount]])</f>
        <v>583.73157403107348</v>
      </c>
      <c r="L262" t="str">
        <f>TEXT(Table3[[#This Row],[Sale Date]],"dddd")</f>
        <v>Friday</v>
      </c>
    </row>
    <row r="263" spans="1:12" x14ac:dyDescent="0.3">
      <c r="A263" t="s">
        <v>286</v>
      </c>
      <c r="B263" t="s">
        <v>54</v>
      </c>
      <c r="C263" s="1">
        <v>44727</v>
      </c>
      <c r="D263" t="s">
        <v>62</v>
      </c>
      <c r="E263" t="s">
        <v>67</v>
      </c>
      <c r="F263">
        <v>130</v>
      </c>
      <c r="G263" t="s">
        <v>1</v>
      </c>
      <c r="H263" s="2">
        <v>6</v>
      </c>
      <c r="I263" s="3">
        <v>0.16327712663351335</v>
      </c>
      <c r="J263">
        <f>PRODUCT(Table3[[#This Row],[Price of One Product]],Table3[[#This Row],[No of Products in one Sale]])</f>
        <v>780</v>
      </c>
      <c r="K263" s="6">
        <f>Table3[[#This Row],[Actual Sale]]*(1-Table3[[#This Row],[Discount]])</f>
        <v>652.64384122585955</v>
      </c>
      <c r="L263" t="str">
        <f>TEXT(Table3[[#This Row],[Sale Date]],"dddd")</f>
        <v>Wednesday</v>
      </c>
    </row>
    <row r="264" spans="1:12" x14ac:dyDescent="0.3">
      <c r="A264" t="s">
        <v>287</v>
      </c>
      <c r="B264" t="s">
        <v>51</v>
      </c>
      <c r="C264" s="1">
        <v>44734</v>
      </c>
      <c r="D264" t="s">
        <v>59</v>
      </c>
      <c r="E264" t="s">
        <v>66</v>
      </c>
      <c r="F264">
        <v>72</v>
      </c>
      <c r="G264" t="s">
        <v>2</v>
      </c>
      <c r="H264" s="2">
        <v>9</v>
      </c>
      <c r="I264" s="3">
        <v>0.71431849239690393</v>
      </c>
      <c r="J264">
        <f>PRODUCT(Table3[[#This Row],[Price of One Product]],Table3[[#This Row],[No of Products in one Sale]])</f>
        <v>648</v>
      </c>
      <c r="K264" s="6">
        <f>Table3[[#This Row],[Actual Sale]]*(1-Table3[[#This Row],[Discount]])</f>
        <v>185.12161692680627</v>
      </c>
      <c r="L264" t="str">
        <f>TEXT(Table3[[#This Row],[Sale Date]],"dddd")</f>
        <v>Wednesday</v>
      </c>
    </row>
    <row r="265" spans="1:12" x14ac:dyDescent="0.3">
      <c r="A265" t="s">
        <v>288</v>
      </c>
      <c r="B265" t="s">
        <v>52</v>
      </c>
      <c r="C265" s="1">
        <v>44744</v>
      </c>
      <c r="D265" t="s">
        <v>60</v>
      </c>
      <c r="E265" t="s">
        <v>67</v>
      </c>
      <c r="F265">
        <v>65</v>
      </c>
      <c r="G265" t="s">
        <v>0</v>
      </c>
      <c r="H265" s="2">
        <v>7</v>
      </c>
      <c r="I265" s="3">
        <v>0.58151491016386692</v>
      </c>
      <c r="J265">
        <f>PRODUCT(Table3[[#This Row],[Price of One Product]],Table3[[#This Row],[No of Products in one Sale]])</f>
        <v>455</v>
      </c>
      <c r="K265" s="6">
        <f>Table3[[#This Row],[Actual Sale]]*(1-Table3[[#This Row],[Discount]])</f>
        <v>190.41071587544056</v>
      </c>
      <c r="L265" t="str">
        <f>TEXT(Table3[[#This Row],[Sale Date]],"dddd")</f>
        <v>Saturday</v>
      </c>
    </row>
    <row r="266" spans="1:12" x14ac:dyDescent="0.3">
      <c r="A266" t="s">
        <v>289</v>
      </c>
      <c r="B266" t="s">
        <v>53</v>
      </c>
      <c r="C266" s="1">
        <v>44737</v>
      </c>
      <c r="D266" t="s">
        <v>61</v>
      </c>
      <c r="E266" t="s">
        <v>66</v>
      </c>
      <c r="F266">
        <v>250</v>
      </c>
      <c r="G266" t="s">
        <v>1</v>
      </c>
      <c r="H266" s="2">
        <v>1</v>
      </c>
      <c r="I266" s="3">
        <v>0.94025500085845537</v>
      </c>
      <c r="J266">
        <f>PRODUCT(Table3[[#This Row],[Price of One Product]],Table3[[#This Row],[No of Products in one Sale]])</f>
        <v>250</v>
      </c>
      <c r="K266" s="6">
        <f>Table3[[#This Row],[Actual Sale]]*(1-Table3[[#This Row],[Discount]])</f>
        <v>14.936249785386158</v>
      </c>
      <c r="L266" t="str">
        <f>TEXT(Table3[[#This Row],[Sale Date]],"dddd")</f>
        <v>Saturday</v>
      </c>
    </row>
    <row r="267" spans="1:12" x14ac:dyDescent="0.3">
      <c r="A267" t="s">
        <v>290</v>
      </c>
      <c r="B267" t="s">
        <v>54</v>
      </c>
      <c r="C267" s="1">
        <v>44752</v>
      </c>
      <c r="D267" t="s">
        <v>62</v>
      </c>
      <c r="E267" t="s">
        <v>67</v>
      </c>
      <c r="F267">
        <v>130</v>
      </c>
      <c r="G267" t="s">
        <v>2</v>
      </c>
      <c r="H267" s="2">
        <v>3</v>
      </c>
      <c r="I267" s="3">
        <v>0.85696007733376245</v>
      </c>
      <c r="J267">
        <f>PRODUCT(Table3[[#This Row],[Price of One Product]],Table3[[#This Row],[No of Products in one Sale]])</f>
        <v>390</v>
      </c>
      <c r="K267" s="6">
        <f>Table3[[#This Row],[Actual Sale]]*(1-Table3[[#This Row],[Discount]])</f>
        <v>55.785569839832647</v>
      </c>
      <c r="L267" t="str">
        <f>TEXT(Table3[[#This Row],[Sale Date]],"dddd")</f>
        <v>Sunday</v>
      </c>
    </row>
    <row r="268" spans="1:12" x14ac:dyDescent="0.3">
      <c r="A268" t="s">
        <v>291</v>
      </c>
      <c r="B268" t="s">
        <v>55</v>
      </c>
      <c r="C268" s="1">
        <v>44736</v>
      </c>
      <c r="D268" t="s">
        <v>63</v>
      </c>
      <c r="E268" t="s">
        <v>66</v>
      </c>
      <c r="F268">
        <v>60</v>
      </c>
      <c r="G268" t="s">
        <v>0</v>
      </c>
      <c r="H268" s="2">
        <v>6</v>
      </c>
      <c r="I268" s="3">
        <v>0.73704670632037661</v>
      </c>
      <c r="J268">
        <f>PRODUCT(Table3[[#This Row],[Price of One Product]],Table3[[#This Row],[No of Products in one Sale]])</f>
        <v>360</v>
      </c>
      <c r="K268" s="6">
        <f>Table3[[#This Row],[Actual Sale]]*(1-Table3[[#This Row],[Discount]])</f>
        <v>94.663185724664416</v>
      </c>
      <c r="L268" t="str">
        <f>TEXT(Table3[[#This Row],[Sale Date]],"dddd")</f>
        <v>Friday</v>
      </c>
    </row>
    <row r="269" spans="1:12" x14ac:dyDescent="0.3">
      <c r="A269" t="s">
        <v>292</v>
      </c>
      <c r="B269" t="s">
        <v>56</v>
      </c>
      <c r="C269" s="1">
        <v>44752</v>
      </c>
      <c r="D269" t="s">
        <v>64</v>
      </c>
      <c r="E269" t="s">
        <v>67</v>
      </c>
      <c r="F269">
        <v>95</v>
      </c>
      <c r="G269" t="s">
        <v>1</v>
      </c>
      <c r="H269" s="2">
        <v>5</v>
      </c>
      <c r="I269" s="3">
        <v>0.99556674564351355</v>
      </c>
      <c r="J269">
        <f>PRODUCT(Table3[[#This Row],[Price of One Product]],Table3[[#This Row],[No of Products in one Sale]])</f>
        <v>475</v>
      </c>
      <c r="K269" s="6">
        <f>Table3[[#This Row],[Actual Sale]]*(1-Table3[[#This Row],[Discount]])</f>
        <v>2.1057958193310631</v>
      </c>
      <c r="L269" t="str">
        <f>TEXT(Table3[[#This Row],[Sale Date]],"dddd")</f>
        <v>Sunday</v>
      </c>
    </row>
    <row r="270" spans="1:12" x14ac:dyDescent="0.3">
      <c r="A270" t="s">
        <v>293</v>
      </c>
      <c r="B270" t="s">
        <v>51</v>
      </c>
      <c r="C270" s="1">
        <v>44759</v>
      </c>
      <c r="D270" t="s">
        <v>59</v>
      </c>
      <c r="E270" t="s">
        <v>66</v>
      </c>
      <c r="F270">
        <v>72</v>
      </c>
      <c r="G270" t="s">
        <v>2</v>
      </c>
      <c r="H270" s="2">
        <v>8</v>
      </c>
      <c r="I270" s="3">
        <v>0.82336237784945987</v>
      </c>
      <c r="J270">
        <f>PRODUCT(Table3[[#This Row],[Price of One Product]],Table3[[#This Row],[No of Products in one Sale]])</f>
        <v>576</v>
      </c>
      <c r="K270" s="6">
        <f>Table3[[#This Row],[Actual Sale]]*(1-Table3[[#This Row],[Discount]])</f>
        <v>101.74327035871111</v>
      </c>
      <c r="L270" t="str">
        <f>TEXT(Table3[[#This Row],[Sale Date]],"dddd")</f>
        <v>Sunday</v>
      </c>
    </row>
    <row r="271" spans="1:12" x14ac:dyDescent="0.3">
      <c r="A271" t="s">
        <v>294</v>
      </c>
      <c r="B271" t="s">
        <v>52</v>
      </c>
      <c r="C271" s="1">
        <v>44763</v>
      </c>
      <c r="D271" t="s">
        <v>60</v>
      </c>
      <c r="E271" t="s">
        <v>67</v>
      </c>
      <c r="F271">
        <v>65</v>
      </c>
      <c r="G271" t="s">
        <v>0</v>
      </c>
      <c r="H271" s="2">
        <v>13</v>
      </c>
      <c r="I271" s="3">
        <v>0.21429857063805535</v>
      </c>
      <c r="J271">
        <f>PRODUCT(Table3[[#This Row],[Price of One Product]],Table3[[#This Row],[No of Products in one Sale]])</f>
        <v>845</v>
      </c>
      <c r="K271" s="6">
        <f>Table3[[#This Row],[Actual Sale]]*(1-Table3[[#This Row],[Discount]])</f>
        <v>663.91770781084324</v>
      </c>
      <c r="L271" t="str">
        <f>TEXT(Table3[[#This Row],[Sale Date]],"dddd")</f>
        <v>Thursday</v>
      </c>
    </row>
    <row r="272" spans="1:12" x14ac:dyDescent="0.3">
      <c r="A272" t="s">
        <v>295</v>
      </c>
      <c r="B272" t="s">
        <v>53</v>
      </c>
      <c r="C272" s="1">
        <v>44763</v>
      </c>
      <c r="D272" t="s">
        <v>61</v>
      </c>
      <c r="E272" t="s">
        <v>66</v>
      </c>
      <c r="F272">
        <v>250</v>
      </c>
      <c r="G272" t="s">
        <v>1</v>
      </c>
      <c r="H272" s="2">
        <v>2</v>
      </c>
      <c r="I272" s="3">
        <v>0.9858246368711242</v>
      </c>
      <c r="J272">
        <f>PRODUCT(Table3[[#This Row],[Price of One Product]],Table3[[#This Row],[No of Products in one Sale]])</f>
        <v>500</v>
      </c>
      <c r="K272" s="6">
        <f>Table3[[#This Row],[Actual Sale]]*(1-Table3[[#This Row],[Discount]])</f>
        <v>7.0876815644378972</v>
      </c>
      <c r="L272" t="str">
        <f>TEXT(Table3[[#This Row],[Sale Date]],"dddd")</f>
        <v>Thursday</v>
      </c>
    </row>
    <row r="273" spans="1:12" x14ac:dyDescent="0.3">
      <c r="A273" t="s">
        <v>296</v>
      </c>
      <c r="B273" t="s">
        <v>54</v>
      </c>
      <c r="C273" s="1">
        <v>44750</v>
      </c>
      <c r="D273" t="s">
        <v>62</v>
      </c>
      <c r="E273" t="s">
        <v>67</v>
      </c>
      <c r="F273">
        <v>130</v>
      </c>
      <c r="G273" t="s">
        <v>2</v>
      </c>
      <c r="H273" s="2">
        <v>6</v>
      </c>
      <c r="I273" s="3">
        <v>2.0787857004193944E-2</v>
      </c>
      <c r="J273">
        <f>PRODUCT(Table3[[#This Row],[Price of One Product]],Table3[[#This Row],[No of Products in one Sale]])</f>
        <v>780</v>
      </c>
      <c r="K273" s="6">
        <f>Table3[[#This Row],[Actual Sale]]*(1-Table3[[#This Row],[Discount]])</f>
        <v>763.78547153672878</v>
      </c>
      <c r="L273" t="str">
        <f>TEXT(Table3[[#This Row],[Sale Date]],"dddd")</f>
        <v>Friday</v>
      </c>
    </row>
    <row r="274" spans="1:12" x14ac:dyDescent="0.3">
      <c r="A274" t="s">
        <v>297</v>
      </c>
      <c r="B274" t="s">
        <v>51</v>
      </c>
      <c r="C274" s="1">
        <v>44751</v>
      </c>
      <c r="D274" t="s">
        <v>59</v>
      </c>
      <c r="E274" t="s">
        <v>66</v>
      </c>
      <c r="F274">
        <v>72</v>
      </c>
      <c r="G274" t="s">
        <v>0</v>
      </c>
      <c r="H274" s="2">
        <v>8</v>
      </c>
      <c r="I274" s="3">
        <v>0.4043041551106823</v>
      </c>
      <c r="J274">
        <f>PRODUCT(Table3[[#This Row],[Price of One Product]],Table3[[#This Row],[No of Products in one Sale]])</f>
        <v>576</v>
      </c>
      <c r="K274" s="6">
        <f>Table3[[#This Row],[Actual Sale]]*(1-Table3[[#This Row],[Discount]])</f>
        <v>343.120806656247</v>
      </c>
      <c r="L274" t="str">
        <f>TEXT(Table3[[#This Row],[Sale Date]],"dddd")</f>
        <v>Saturday</v>
      </c>
    </row>
    <row r="275" spans="1:12" x14ac:dyDescent="0.3">
      <c r="A275" t="s">
        <v>298</v>
      </c>
      <c r="B275" t="s">
        <v>52</v>
      </c>
      <c r="C275" s="1">
        <v>44736</v>
      </c>
      <c r="D275" t="s">
        <v>60</v>
      </c>
      <c r="E275" t="s">
        <v>67</v>
      </c>
      <c r="F275">
        <v>65</v>
      </c>
      <c r="G275" t="s">
        <v>1</v>
      </c>
      <c r="H275" s="2">
        <v>6</v>
      </c>
      <c r="I275" s="3">
        <v>0.86228936216370378</v>
      </c>
      <c r="J275">
        <f>PRODUCT(Table3[[#This Row],[Price of One Product]],Table3[[#This Row],[No of Products in one Sale]])</f>
        <v>390</v>
      </c>
      <c r="K275" s="6">
        <f>Table3[[#This Row],[Actual Sale]]*(1-Table3[[#This Row],[Discount]])</f>
        <v>53.707148756155526</v>
      </c>
      <c r="L275" t="str">
        <f>TEXT(Table3[[#This Row],[Sale Date]],"dddd")</f>
        <v>Friday</v>
      </c>
    </row>
    <row r="276" spans="1:12" x14ac:dyDescent="0.3">
      <c r="A276" t="s">
        <v>299</v>
      </c>
      <c r="B276" t="s">
        <v>53</v>
      </c>
      <c r="C276" s="1">
        <v>44737</v>
      </c>
      <c r="D276" t="s">
        <v>61</v>
      </c>
      <c r="E276" t="s">
        <v>66</v>
      </c>
      <c r="F276">
        <v>250</v>
      </c>
      <c r="G276" t="s">
        <v>2</v>
      </c>
      <c r="H276" s="2">
        <v>3</v>
      </c>
      <c r="I276" s="3">
        <v>0.20267200262393703</v>
      </c>
      <c r="J276">
        <f>PRODUCT(Table3[[#This Row],[Price of One Product]],Table3[[#This Row],[No of Products in one Sale]])</f>
        <v>750</v>
      </c>
      <c r="K276" s="6">
        <f>Table3[[#This Row],[Actual Sale]]*(1-Table3[[#This Row],[Discount]])</f>
        <v>597.99599803204728</v>
      </c>
      <c r="L276" t="str">
        <f>TEXT(Table3[[#This Row],[Sale Date]],"dddd")</f>
        <v>Saturday</v>
      </c>
    </row>
    <row r="277" spans="1:12" x14ac:dyDescent="0.3">
      <c r="A277" t="s">
        <v>300</v>
      </c>
      <c r="B277" t="s">
        <v>54</v>
      </c>
      <c r="C277" s="1">
        <v>44744</v>
      </c>
      <c r="D277" t="s">
        <v>59</v>
      </c>
      <c r="E277" t="s">
        <v>67</v>
      </c>
      <c r="F277">
        <v>72</v>
      </c>
      <c r="G277" t="s">
        <v>0</v>
      </c>
      <c r="H277" s="2">
        <v>6</v>
      </c>
      <c r="I277" s="3">
        <v>0.42721330596562979</v>
      </c>
      <c r="J277">
        <f>PRODUCT(Table3[[#This Row],[Price of One Product]],Table3[[#This Row],[No of Products in one Sale]])</f>
        <v>432</v>
      </c>
      <c r="K277" s="6">
        <f>Table3[[#This Row],[Actual Sale]]*(1-Table3[[#This Row],[Discount]])</f>
        <v>247.44385182284793</v>
      </c>
      <c r="L277" t="str">
        <f>TEXT(Table3[[#This Row],[Sale Date]],"dddd")</f>
        <v>Saturday</v>
      </c>
    </row>
    <row r="278" spans="1:12" x14ac:dyDescent="0.3">
      <c r="A278" t="s">
        <v>301</v>
      </c>
      <c r="B278" t="s">
        <v>51</v>
      </c>
      <c r="C278" s="1">
        <v>44735</v>
      </c>
      <c r="D278" t="s">
        <v>60</v>
      </c>
      <c r="E278" t="s">
        <v>66</v>
      </c>
      <c r="F278">
        <v>65</v>
      </c>
      <c r="G278" t="s">
        <v>0</v>
      </c>
      <c r="H278" s="2">
        <v>13</v>
      </c>
      <c r="I278" s="3">
        <v>0.87108149970897442</v>
      </c>
      <c r="J278">
        <f>PRODUCT(Table3[[#This Row],[Price of One Product]],Table3[[#This Row],[No of Products in one Sale]])</f>
        <v>845</v>
      </c>
      <c r="K278" s="6">
        <f>Table3[[#This Row],[Actual Sale]]*(1-Table3[[#This Row],[Discount]])</f>
        <v>108.93613274591662</v>
      </c>
      <c r="L278" t="str">
        <f>TEXT(Table3[[#This Row],[Sale Date]],"dddd")</f>
        <v>Thursday</v>
      </c>
    </row>
    <row r="279" spans="1:12" x14ac:dyDescent="0.3">
      <c r="A279" t="s">
        <v>302</v>
      </c>
      <c r="B279" t="s">
        <v>52</v>
      </c>
      <c r="C279" s="1">
        <v>44751</v>
      </c>
      <c r="D279" t="s">
        <v>61</v>
      </c>
      <c r="E279" t="s">
        <v>67</v>
      </c>
      <c r="F279">
        <v>250</v>
      </c>
      <c r="G279" t="s">
        <v>1</v>
      </c>
      <c r="H279" s="2">
        <v>1</v>
      </c>
      <c r="I279" s="3">
        <v>2.6358009716956676E-2</v>
      </c>
      <c r="J279">
        <f>PRODUCT(Table3[[#This Row],[Price of One Product]],Table3[[#This Row],[No of Products in one Sale]])</f>
        <v>250</v>
      </c>
      <c r="K279" s="6">
        <f>Table3[[#This Row],[Actual Sale]]*(1-Table3[[#This Row],[Discount]])</f>
        <v>243.41049757076084</v>
      </c>
      <c r="L279" t="str">
        <f>TEXT(Table3[[#This Row],[Sale Date]],"dddd")</f>
        <v>Saturday</v>
      </c>
    </row>
    <row r="280" spans="1:12" x14ac:dyDescent="0.3">
      <c r="A280" t="s">
        <v>303</v>
      </c>
      <c r="B280" t="s">
        <v>53</v>
      </c>
      <c r="C280" s="1">
        <v>44726</v>
      </c>
      <c r="D280" t="s">
        <v>62</v>
      </c>
      <c r="E280" t="s">
        <v>67</v>
      </c>
      <c r="F280">
        <v>130</v>
      </c>
      <c r="G280" t="s">
        <v>2</v>
      </c>
      <c r="H280" s="2">
        <v>3</v>
      </c>
      <c r="I280" s="3">
        <v>0.77767785740350603</v>
      </c>
      <c r="J280">
        <f>PRODUCT(Table3[[#This Row],[Price of One Product]],Table3[[#This Row],[No of Products in one Sale]])</f>
        <v>390</v>
      </c>
      <c r="K280" s="6">
        <f>Table3[[#This Row],[Actual Sale]]*(1-Table3[[#This Row],[Discount]])</f>
        <v>86.705635612632648</v>
      </c>
      <c r="L280" t="str">
        <f>TEXT(Table3[[#This Row],[Sale Date]],"dddd")</f>
        <v>Tuesday</v>
      </c>
    </row>
    <row r="281" spans="1:12" x14ac:dyDescent="0.3">
      <c r="A281" t="s">
        <v>304</v>
      </c>
      <c r="B281" t="s">
        <v>54</v>
      </c>
      <c r="C281" s="1">
        <v>44749</v>
      </c>
      <c r="D281" t="s">
        <v>59</v>
      </c>
      <c r="E281" t="s">
        <v>67</v>
      </c>
      <c r="F281">
        <v>72</v>
      </c>
      <c r="G281" t="s">
        <v>0</v>
      </c>
      <c r="H281" s="2">
        <v>3</v>
      </c>
      <c r="I281" s="3">
        <v>0.68682565144107521</v>
      </c>
      <c r="J281">
        <f>PRODUCT(Table3[[#This Row],[Price of One Product]],Table3[[#This Row],[No of Products in one Sale]])</f>
        <v>216</v>
      </c>
      <c r="K281" s="6">
        <f>Table3[[#This Row],[Actual Sale]]*(1-Table3[[#This Row],[Discount]])</f>
        <v>67.645659288727757</v>
      </c>
      <c r="L281" t="str">
        <f>TEXT(Table3[[#This Row],[Sale Date]],"dddd")</f>
        <v>Thursday</v>
      </c>
    </row>
    <row r="282" spans="1:12" x14ac:dyDescent="0.3">
      <c r="A282" t="s">
        <v>305</v>
      </c>
      <c r="B282" t="s">
        <v>51</v>
      </c>
      <c r="C282" s="1">
        <v>44734</v>
      </c>
      <c r="D282" t="s">
        <v>60</v>
      </c>
      <c r="E282" t="s">
        <v>67</v>
      </c>
      <c r="F282">
        <v>65</v>
      </c>
      <c r="G282" t="s">
        <v>1</v>
      </c>
      <c r="H282" s="2">
        <v>14</v>
      </c>
      <c r="I282" s="3">
        <v>0.58269109940879071</v>
      </c>
      <c r="J282">
        <f>PRODUCT(Table3[[#This Row],[Price of One Product]],Table3[[#This Row],[No of Products in one Sale]])</f>
        <v>910</v>
      </c>
      <c r="K282" s="6">
        <f>Table3[[#This Row],[Actual Sale]]*(1-Table3[[#This Row],[Discount]])</f>
        <v>379.75109953800046</v>
      </c>
      <c r="L282" t="str">
        <f>TEXT(Table3[[#This Row],[Sale Date]],"dddd")</f>
        <v>Wednesday</v>
      </c>
    </row>
    <row r="283" spans="1:12" x14ac:dyDescent="0.3">
      <c r="A283" t="s">
        <v>306</v>
      </c>
      <c r="B283" t="s">
        <v>52</v>
      </c>
      <c r="C283" s="1">
        <v>44726</v>
      </c>
      <c r="D283" t="s">
        <v>61</v>
      </c>
      <c r="E283" t="s">
        <v>67</v>
      </c>
      <c r="F283">
        <v>250</v>
      </c>
      <c r="G283" t="s">
        <v>2</v>
      </c>
      <c r="H283" s="2">
        <v>3</v>
      </c>
      <c r="I283" s="3">
        <v>0.44339908275720785</v>
      </c>
      <c r="J283">
        <f>PRODUCT(Table3[[#This Row],[Price of One Product]],Table3[[#This Row],[No of Products in one Sale]])</f>
        <v>750</v>
      </c>
      <c r="K283" s="6">
        <f>Table3[[#This Row],[Actual Sale]]*(1-Table3[[#This Row],[Discount]])</f>
        <v>417.45068793209413</v>
      </c>
      <c r="L283" t="str">
        <f>TEXT(Table3[[#This Row],[Sale Date]],"dddd")</f>
        <v>Tuesday</v>
      </c>
    </row>
    <row r="284" spans="1:12" x14ac:dyDescent="0.3">
      <c r="A284" t="s">
        <v>307</v>
      </c>
      <c r="B284" t="s">
        <v>53</v>
      </c>
      <c r="C284" s="1">
        <v>44743</v>
      </c>
      <c r="D284" t="s">
        <v>62</v>
      </c>
      <c r="E284" t="s">
        <v>66</v>
      </c>
      <c r="F284">
        <v>130</v>
      </c>
      <c r="G284" t="s">
        <v>0</v>
      </c>
      <c r="H284" s="2">
        <v>3</v>
      </c>
      <c r="I284" s="3">
        <v>0.12575036810320794</v>
      </c>
      <c r="J284">
        <f>PRODUCT(Table3[[#This Row],[Price of One Product]],Table3[[#This Row],[No of Products in one Sale]])</f>
        <v>390</v>
      </c>
      <c r="K284" s="6">
        <f>Table3[[#This Row],[Actual Sale]]*(1-Table3[[#This Row],[Discount]])</f>
        <v>340.95735643974888</v>
      </c>
      <c r="L284" t="str">
        <f>TEXT(Table3[[#This Row],[Sale Date]],"dddd")</f>
        <v>Friday</v>
      </c>
    </row>
    <row r="285" spans="1:12" x14ac:dyDescent="0.3">
      <c r="A285" t="s">
        <v>308</v>
      </c>
      <c r="B285" t="s">
        <v>54</v>
      </c>
      <c r="C285" s="1">
        <v>44742</v>
      </c>
      <c r="D285" t="s">
        <v>63</v>
      </c>
      <c r="E285" t="s">
        <v>67</v>
      </c>
      <c r="F285">
        <v>60</v>
      </c>
      <c r="G285" t="s">
        <v>1</v>
      </c>
      <c r="H285" s="2">
        <v>13</v>
      </c>
      <c r="I285" s="3">
        <v>0.58443763111426095</v>
      </c>
      <c r="J285">
        <f>PRODUCT(Table3[[#This Row],[Price of One Product]],Table3[[#This Row],[No of Products in one Sale]])</f>
        <v>780</v>
      </c>
      <c r="K285" s="6">
        <f>Table3[[#This Row],[Actual Sale]]*(1-Table3[[#This Row],[Discount]])</f>
        <v>324.13864773087647</v>
      </c>
      <c r="L285" t="str">
        <f>TEXT(Table3[[#This Row],[Sale Date]],"dddd")</f>
        <v>Thursday</v>
      </c>
    </row>
    <row r="286" spans="1:12" x14ac:dyDescent="0.3">
      <c r="A286" t="s">
        <v>309</v>
      </c>
      <c r="B286" t="s">
        <v>55</v>
      </c>
      <c r="C286" s="1">
        <v>44747</v>
      </c>
      <c r="D286" t="s">
        <v>59</v>
      </c>
      <c r="E286" t="s">
        <v>66</v>
      </c>
      <c r="F286">
        <v>72</v>
      </c>
      <c r="G286" t="s">
        <v>2</v>
      </c>
      <c r="H286" s="2">
        <v>11</v>
      </c>
      <c r="I286" s="3">
        <v>0.20269838427382159</v>
      </c>
      <c r="J286">
        <f>PRODUCT(Table3[[#This Row],[Price of One Product]],Table3[[#This Row],[No of Products in one Sale]])</f>
        <v>792</v>
      </c>
      <c r="K286" s="6">
        <f>Table3[[#This Row],[Actual Sale]]*(1-Table3[[#This Row],[Discount]])</f>
        <v>631.46287965513329</v>
      </c>
      <c r="L286" t="str">
        <f>TEXT(Table3[[#This Row],[Sale Date]],"dddd")</f>
        <v>Tuesday</v>
      </c>
    </row>
    <row r="287" spans="1:12" x14ac:dyDescent="0.3">
      <c r="A287" t="s">
        <v>310</v>
      </c>
      <c r="B287" t="s">
        <v>51</v>
      </c>
      <c r="C287" s="1">
        <v>44764</v>
      </c>
      <c r="D287" t="s">
        <v>60</v>
      </c>
      <c r="E287" t="s">
        <v>67</v>
      </c>
      <c r="F287">
        <v>65</v>
      </c>
      <c r="G287" t="s">
        <v>0</v>
      </c>
      <c r="H287" s="2">
        <v>5</v>
      </c>
      <c r="I287" s="3">
        <v>0.34588473967990274</v>
      </c>
      <c r="J287">
        <f>PRODUCT(Table3[[#This Row],[Price of One Product]],Table3[[#This Row],[No of Products in one Sale]])</f>
        <v>325</v>
      </c>
      <c r="K287" s="6">
        <f>Table3[[#This Row],[Actual Sale]]*(1-Table3[[#This Row],[Discount]])</f>
        <v>212.58745960403161</v>
      </c>
      <c r="L287" t="str">
        <f>TEXT(Table3[[#This Row],[Sale Date]],"dddd")</f>
        <v>Friday</v>
      </c>
    </row>
    <row r="288" spans="1:12" x14ac:dyDescent="0.3">
      <c r="A288" t="s">
        <v>311</v>
      </c>
      <c r="B288" t="s">
        <v>52</v>
      </c>
      <c r="C288" s="1">
        <v>44735</v>
      </c>
      <c r="D288" t="s">
        <v>61</v>
      </c>
      <c r="E288" t="s">
        <v>66</v>
      </c>
      <c r="F288">
        <v>250</v>
      </c>
      <c r="G288" t="s">
        <v>1</v>
      </c>
      <c r="H288" s="2">
        <v>3</v>
      </c>
      <c r="I288" s="3">
        <v>0.44863071332488991</v>
      </c>
      <c r="J288">
        <f>PRODUCT(Table3[[#This Row],[Price of One Product]],Table3[[#This Row],[No of Products in one Sale]])</f>
        <v>750</v>
      </c>
      <c r="K288" s="6">
        <f>Table3[[#This Row],[Actual Sale]]*(1-Table3[[#This Row],[Discount]])</f>
        <v>413.52696500633255</v>
      </c>
      <c r="L288" t="str">
        <f>TEXT(Table3[[#This Row],[Sale Date]],"dddd")</f>
        <v>Thursday</v>
      </c>
    </row>
    <row r="289" spans="1:12" x14ac:dyDescent="0.3">
      <c r="A289" t="s">
        <v>312</v>
      </c>
      <c r="B289" t="s">
        <v>53</v>
      </c>
      <c r="C289" s="1">
        <v>44737</v>
      </c>
      <c r="D289" t="s">
        <v>62</v>
      </c>
      <c r="E289" t="s">
        <v>67</v>
      </c>
      <c r="F289">
        <v>130</v>
      </c>
      <c r="G289" t="s">
        <v>2</v>
      </c>
      <c r="H289" s="2">
        <v>2</v>
      </c>
      <c r="I289" s="3">
        <v>0.41195662281860623</v>
      </c>
      <c r="J289">
        <f>PRODUCT(Table3[[#This Row],[Price of One Product]],Table3[[#This Row],[No of Products in one Sale]])</f>
        <v>260</v>
      </c>
      <c r="K289" s="6">
        <f>Table3[[#This Row],[Actual Sale]]*(1-Table3[[#This Row],[Discount]])</f>
        <v>152.89127806716238</v>
      </c>
      <c r="L289" t="str">
        <f>TEXT(Table3[[#This Row],[Sale Date]],"dddd")</f>
        <v>Saturday</v>
      </c>
    </row>
    <row r="290" spans="1:12" x14ac:dyDescent="0.3">
      <c r="A290" t="s">
        <v>313</v>
      </c>
      <c r="B290" t="s">
        <v>54</v>
      </c>
      <c r="C290" s="1">
        <v>44749</v>
      </c>
      <c r="D290" t="s">
        <v>59</v>
      </c>
      <c r="E290" t="s">
        <v>66</v>
      </c>
      <c r="F290">
        <v>72</v>
      </c>
      <c r="G290" t="s">
        <v>0</v>
      </c>
      <c r="H290" s="2">
        <v>10</v>
      </c>
      <c r="I290" s="3">
        <v>0.78611978286567918</v>
      </c>
      <c r="J290">
        <f>PRODUCT(Table3[[#This Row],[Price of One Product]],Table3[[#This Row],[No of Products in one Sale]])</f>
        <v>720</v>
      </c>
      <c r="K290" s="6">
        <f>Table3[[#This Row],[Actual Sale]]*(1-Table3[[#This Row],[Discount]])</f>
        <v>153.99375633671099</v>
      </c>
      <c r="L290" t="str">
        <f>TEXT(Table3[[#This Row],[Sale Date]],"dddd")</f>
        <v>Thursday</v>
      </c>
    </row>
    <row r="291" spans="1:12" x14ac:dyDescent="0.3">
      <c r="A291" t="s">
        <v>314</v>
      </c>
      <c r="B291" t="s">
        <v>51</v>
      </c>
      <c r="C291" s="1">
        <v>44729</v>
      </c>
      <c r="D291" t="s">
        <v>60</v>
      </c>
      <c r="E291" t="s">
        <v>67</v>
      </c>
      <c r="F291">
        <v>65</v>
      </c>
      <c r="G291" t="s">
        <v>1</v>
      </c>
      <c r="H291" s="2">
        <v>12</v>
      </c>
      <c r="I291" s="3">
        <v>0.82093526112515247</v>
      </c>
      <c r="J291">
        <f>PRODUCT(Table3[[#This Row],[Price of One Product]],Table3[[#This Row],[No of Products in one Sale]])</f>
        <v>780</v>
      </c>
      <c r="K291" s="6">
        <f>Table3[[#This Row],[Actual Sale]]*(1-Table3[[#This Row],[Discount]])</f>
        <v>139.67049632238107</v>
      </c>
      <c r="L291" t="str">
        <f>TEXT(Table3[[#This Row],[Sale Date]],"dddd")</f>
        <v>Friday</v>
      </c>
    </row>
    <row r="292" spans="1:12" x14ac:dyDescent="0.3">
      <c r="A292" t="s">
        <v>315</v>
      </c>
      <c r="B292" t="s">
        <v>52</v>
      </c>
      <c r="C292" s="1">
        <v>44738</v>
      </c>
      <c r="D292" t="s">
        <v>61</v>
      </c>
      <c r="E292" t="s">
        <v>66</v>
      </c>
      <c r="F292">
        <v>250</v>
      </c>
      <c r="G292" t="s">
        <v>2</v>
      </c>
      <c r="H292" s="2">
        <v>3</v>
      </c>
      <c r="I292" s="3">
        <v>0.5655055849614361</v>
      </c>
      <c r="J292">
        <f>PRODUCT(Table3[[#This Row],[Price of One Product]],Table3[[#This Row],[No of Products in one Sale]])</f>
        <v>750</v>
      </c>
      <c r="K292" s="6">
        <f>Table3[[#This Row],[Actual Sale]]*(1-Table3[[#This Row],[Discount]])</f>
        <v>325.87081127892293</v>
      </c>
      <c r="L292" t="str">
        <f>TEXT(Table3[[#This Row],[Sale Date]],"dddd")</f>
        <v>Sunday</v>
      </c>
    </row>
    <row r="293" spans="1:12" x14ac:dyDescent="0.3">
      <c r="A293" t="s">
        <v>316</v>
      </c>
      <c r="B293" t="s">
        <v>53</v>
      </c>
      <c r="C293" s="1">
        <v>44740</v>
      </c>
      <c r="D293" t="s">
        <v>62</v>
      </c>
      <c r="E293" t="s">
        <v>67</v>
      </c>
      <c r="F293">
        <v>130</v>
      </c>
      <c r="G293" t="s">
        <v>0</v>
      </c>
      <c r="H293" s="2">
        <v>4</v>
      </c>
      <c r="I293" s="3">
        <v>0.48001599413027629</v>
      </c>
      <c r="J293">
        <f>PRODUCT(Table3[[#This Row],[Price of One Product]],Table3[[#This Row],[No of Products in one Sale]])</f>
        <v>520</v>
      </c>
      <c r="K293" s="6">
        <f>Table3[[#This Row],[Actual Sale]]*(1-Table3[[#This Row],[Discount]])</f>
        <v>270.39168305225633</v>
      </c>
      <c r="L293" t="str">
        <f>TEXT(Table3[[#This Row],[Sale Date]],"dddd")</f>
        <v>Tuesday</v>
      </c>
    </row>
    <row r="294" spans="1:12" x14ac:dyDescent="0.3">
      <c r="A294" t="s">
        <v>317</v>
      </c>
      <c r="B294" t="s">
        <v>54</v>
      </c>
      <c r="C294" s="1">
        <v>44755</v>
      </c>
      <c r="D294" t="s">
        <v>63</v>
      </c>
      <c r="E294" t="s">
        <v>66</v>
      </c>
      <c r="F294">
        <v>60</v>
      </c>
      <c r="G294" t="s">
        <v>1</v>
      </c>
      <c r="H294" s="2">
        <v>9</v>
      </c>
      <c r="I294" s="3">
        <v>0.80703544305681518</v>
      </c>
      <c r="J294">
        <f>PRODUCT(Table3[[#This Row],[Price of One Product]],Table3[[#This Row],[No of Products in one Sale]])</f>
        <v>540</v>
      </c>
      <c r="K294" s="6">
        <f>Table3[[#This Row],[Actual Sale]]*(1-Table3[[#This Row],[Discount]])</f>
        <v>104.2008607493198</v>
      </c>
      <c r="L294" t="str">
        <f>TEXT(Table3[[#This Row],[Sale Date]],"dddd")</f>
        <v>Wednesday</v>
      </c>
    </row>
    <row r="295" spans="1:12" x14ac:dyDescent="0.3">
      <c r="A295" t="s">
        <v>318</v>
      </c>
      <c r="B295" t="s">
        <v>55</v>
      </c>
      <c r="C295" s="1">
        <v>44755</v>
      </c>
      <c r="D295" t="s">
        <v>64</v>
      </c>
      <c r="E295" t="s">
        <v>67</v>
      </c>
      <c r="F295">
        <v>95</v>
      </c>
      <c r="G295" t="s">
        <v>2</v>
      </c>
      <c r="H295" s="2">
        <v>6</v>
      </c>
      <c r="I295" s="3">
        <v>0.13472953271650978</v>
      </c>
      <c r="J295">
        <f>PRODUCT(Table3[[#This Row],[Price of One Product]],Table3[[#This Row],[No of Products in one Sale]])</f>
        <v>570</v>
      </c>
      <c r="K295" s="6">
        <f>Table3[[#This Row],[Actual Sale]]*(1-Table3[[#This Row],[Discount]])</f>
        <v>493.20416635158944</v>
      </c>
      <c r="L295" t="str">
        <f>TEXT(Table3[[#This Row],[Sale Date]],"dddd")</f>
        <v>Wednesday</v>
      </c>
    </row>
    <row r="296" spans="1:12" x14ac:dyDescent="0.3">
      <c r="A296" t="s">
        <v>319</v>
      </c>
      <c r="B296" t="s">
        <v>56</v>
      </c>
      <c r="C296" s="1">
        <v>44764</v>
      </c>
      <c r="D296" t="s">
        <v>59</v>
      </c>
      <c r="E296" t="s">
        <v>66</v>
      </c>
      <c r="F296">
        <v>72</v>
      </c>
      <c r="G296" t="s">
        <v>0</v>
      </c>
      <c r="H296" s="2">
        <v>9</v>
      </c>
      <c r="I296" s="3">
        <v>0.53735244514022174</v>
      </c>
      <c r="J296">
        <f>PRODUCT(Table3[[#This Row],[Price of One Product]],Table3[[#This Row],[No of Products in one Sale]])</f>
        <v>648</v>
      </c>
      <c r="K296" s="6">
        <f>Table3[[#This Row],[Actual Sale]]*(1-Table3[[#This Row],[Discount]])</f>
        <v>299.7956155491363</v>
      </c>
      <c r="L296" t="str">
        <f>TEXT(Table3[[#This Row],[Sale Date]],"dddd")</f>
        <v>Friday</v>
      </c>
    </row>
    <row r="297" spans="1:12" x14ac:dyDescent="0.3">
      <c r="A297" t="s">
        <v>320</v>
      </c>
      <c r="B297" t="s">
        <v>51</v>
      </c>
      <c r="C297" s="1">
        <v>44735</v>
      </c>
      <c r="D297" t="s">
        <v>60</v>
      </c>
      <c r="E297" t="s">
        <v>67</v>
      </c>
      <c r="F297">
        <v>65</v>
      </c>
      <c r="G297" t="s">
        <v>1</v>
      </c>
      <c r="H297" s="2">
        <v>10</v>
      </c>
      <c r="I297" s="3">
        <v>0.86493253723020291</v>
      </c>
      <c r="J297">
        <f>PRODUCT(Table3[[#This Row],[Price of One Product]],Table3[[#This Row],[No of Products in one Sale]])</f>
        <v>650</v>
      </c>
      <c r="K297" s="6">
        <f>Table3[[#This Row],[Actual Sale]]*(1-Table3[[#This Row],[Discount]])</f>
        <v>87.793850800368105</v>
      </c>
      <c r="L297" t="str">
        <f>TEXT(Table3[[#This Row],[Sale Date]],"dddd")</f>
        <v>Thursday</v>
      </c>
    </row>
    <row r="298" spans="1:12" x14ac:dyDescent="0.3">
      <c r="A298" t="s">
        <v>321</v>
      </c>
      <c r="B298" t="s">
        <v>52</v>
      </c>
      <c r="C298" s="1">
        <v>44734</v>
      </c>
      <c r="D298" t="s">
        <v>61</v>
      </c>
      <c r="E298" t="s">
        <v>66</v>
      </c>
      <c r="F298">
        <v>250</v>
      </c>
      <c r="G298" t="s">
        <v>2</v>
      </c>
      <c r="H298" s="2">
        <v>2</v>
      </c>
      <c r="I298" s="3">
        <v>0.14635193252367351</v>
      </c>
      <c r="J298">
        <f>PRODUCT(Table3[[#This Row],[Price of One Product]],Table3[[#This Row],[No of Products in one Sale]])</f>
        <v>500</v>
      </c>
      <c r="K298" s="6">
        <f>Table3[[#This Row],[Actual Sale]]*(1-Table3[[#This Row],[Discount]])</f>
        <v>426.82403373816322</v>
      </c>
      <c r="L298" t="str">
        <f>TEXT(Table3[[#This Row],[Sale Date]],"dddd")</f>
        <v>Wednesday</v>
      </c>
    </row>
    <row r="299" spans="1:12" x14ac:dyDescent="0.3">
      <c r="A299" t="s">
        <v>322</v>
      </c>
      <c r="B299" t="s">
        <v>53</v>
      </c>
      <c r="C299" s="1">
        <v>44728</v>
      </c>
      <c r="D299" t="s">
        <v>62</v>
      </c>
      <c r="E299" t="s">
        <v>67</v>
      </c>
      <c r="F299">
        <v>130</v>
      </c>
      <c r="G299" t="s">
        <v>0</v>
      </c>
      <c r="H299" s="2">
        <v>5</v>
      </c>
      <c r="I299" s="3">
        <v>0.49930216593502397</v>
      </c>
      <c r="J299">
        <f>PRODUCT(Table3[[#This Row],[Price of One Product]],Table3[[#This Row],[No of Products in one Sale]])</f>
        <v>650</v>
      </c>
      <c r="K299" s="6">
        <f>Table3[[#This Row],[Actual Sale]]*(1-Table3[[#This Row],[Discount]])</f>
        <v>325.45359214223441</v>
      </c>
      <c r="L299" t="str">
        <f>TEXT(Table3[[#This Row],[Sale Date]],"dddd")</f>
        <v>Thursday</v>
      </c>
    </row>
    <row r="300" spans="1:12" x14ac:dyDescent="0.3">
      <c r="A300" t="s">
        <v>323</v>
      </c>
      <c r="B300" t="s">
        <v>54</v>
      </c>
      <c r="C300" s="1">
        <v>44739</v>
      </c>
      <c r="D300" t="s">
        <v>59</v>
      </c>
      <c r="E300" t="s">
        <v>66</v>
      </c>
      <c r="F300">
        <v>72</v>
      </c>
      <c r="G300" t="s">
        <v>1</v>
      </c>
      <c r="H300" s="2">
        <v>4</v>
      </c>
      <c r="I300" s="3">
        <v>0.16760369217058779</v>
      </c>
      <c r="J300">
        <f>PRODUCT(Table3[[#This Row],[Price of One Product]],Table3[[#This Row],[No of Products in one Sale]])</f>
        <v>288</v>
      </c>
      <c r="K300" s="6">
        <f>Table3[[#This Row],[Actual Sale]]*(1-Table3[[#This Row],[Discount]])</f>
        <v>239.73013665487071</v>
      </c>
      <c r="L300" t="str">
        <f>TEXT(Table3[[#This Row],[Sale Date]],"dddd")</f>
        <v>Monday</v>
      </c>
    </row>
    <row r="301" spans="1:12" x14ac:dyDescent="0.3">
      <c r="A301" t="s">
        <v>324</v>
      </c>
      <c r="B301" t="s">
        <v>51</v>
      </c>
      <c r="C301" s="1">
        <v>44765</v>
      </c>
      <c r="D301" t="s">
        <v>60</v>
      </c>
      <c r="E301" t="s">
        <v>67</v>
      </c>
      <c r="F301">
        <v>65</v>
      </c>
      <c r="G301" t="s">
        <v>2</v>
      </c>
      <c r="H301" s="2">
        <v>13</v>
      </c>
      <c r="I301" s="3">
        <v>0.57040391639924315</v>
      </c>
      <c r="J301">
        <f>PRODUCT(Table3[[#This Row],[Price of One Product]],Table3[[#This Row],[No of Products in one Sale]])</f>
        <v>845</v>
      </c>
      <c r="K301" s="6">
        <f>Table3[[#This Row],[Actual Sale]]*(1-Table3[[#This Row],[Discount]])</f>
        <v>363.00869064263952</v>
      </c>
      <c r="L301" t="str">
        <f>TEXT(Table3[[#This Row],[Sale Date]],"dddd")</f>
        <v>Saturday</v>
      </c>
    </row>
    <row r="302" spans="1:12" x14ac:dyDescent="0.3">
      <c r="A302" t="s">
        <v>325</v>
      </c>
      <c r="B302" t="s">
        <v>52</v>
      </c>
      <c r="C302" s="1">
        <v>44740</v>
      </c>
      <c r="D302" t="s">
        <v>61</v>
      </c>
      <c r="E302" t="s">
        <v>67</v>
      </c>
      <c r="F302">
        <v>250</v>
      </c>
      <c r="G302" t="s">
        <v>0</v>
      </c>
      <c r="H302" s="2">
        <v>2</v>
      </c>
      <c r="I302" s="3">
        <v>0.35240472893682595</v>
      </c>
      <c r="J302">
        <f>PRODUCT(Table3[[#This Row],[Price of One Product]],Table3[[#This Row],[No of Products in one Sale]])</f>
        <v>500</v>
      </c>
      <c r="K302" s="6">
        <f>Table3[[#This Row],[Actual Sale]]*(1-Table3[[#This Row],[Discount]])</f>
        <v>323.79763553158705</v>
      </c>
      <c r="L302" t="str">
        <f>TEXT(Table3[[#This Row],[Sale Date]],"dddd")</f>
        <v>Tuesday</v>
      </c>
    </row>
    <row r="303" spans="1:12" x14ac:dyDescent="0.3">
      <c r="A303" t="s">
        <v>326</v>
      </c>
      <c r="B303" t="s">
        <v>53</v>
      </c>
      <c r="C303" s="1">
        <v>44734</v>
      </c>
      <c r="D303" t="s">
        <v>62</v>
      </c>
      <c r="E303" t="s">
        <v>67</v>
      </c>
      <c r="F303">
        <v>130</v>
      </c>
      <c r="G303" t="s">
        <v>1</v>
      </c>
      <c r="H303" s="2">
        <v>3</v>
      </c>
      <c r="I303" s="3">
        <v>0.11208092156242278</v>
      </c>
      <c r="J303">
        <f>PRODUCT(Table3[[#This Row],[Price of One Product]],Table3[[#This Row],[No of Products in one Sale]])</f>
        <v>390</v>
      </c>
      <c r="K303" s="6">
        <f>Table3[[#This Row],[Actual Sale]]*(1-Table3[[#This Row],[Discount]])</f>
        <v>346.28844059065511</v>
      </c>
      <c r="L303" t="str">
        <f>TEXT(Table3[[#This Row],[Sale Date]],"dddd")</f>
        <v>Wednesday</v>
      </c>
    </row>
    <row r="304" spans="1:12" x14ac:dyDescent="0.3">
      <c r="A304" t="s">
        <v>327</v>
      </c>
      <c r="B304" t="s">
        <v>54</v>
      </c>
      <c r="C304" s="1">
        <v>44727</v>
      </c>
      <c r="D304" t="s">
        <v>63</v>
      </c>
      <c r="E304" t="s">
        <v>67</v>
      </c>
      <c r="F304">
        <v>60</v>
      </c>
      <c r="G304" t="s">
        <v>2</v>
      </c>
      <c r="H304" s="2">
        <v>10</v>
      </c>
      <c r="I304" s="3">
        <v>0.57839134647100132</v>
      </c>
      <c r="J304">
        <f>PRODUCT(Table3[[#This Row],[Price of One Product]],Table3[[#This Row],[No of Products in one Sale]])</f>
        <v>600</v>
      </c>
      <c r="K304" s="6">
        <f>Table3[[#This Row],[Actual Sale]]*(1-Table3[[#This Row],[Discount]])</f>
        <v>252.9651921173992</v>
      </c>
      <c r="L304" t="str">
        <f>TEXT(Table3[[#This Row],[Sale Date]],"dddd")</f>
        <v>Wednesday</v>
      </c>
    </row>
    <row r="305" spans="1:12" x14ac:dyDescent="0.3">
      <c r="A305" t="s">
        <v>328</v>
      </c>
      <c r="B305" t="s">
        <v>55</v>
      </c>
      <c r="C305" s="1">
        <v>44737</v>
      </c>
      <c r="D305" t="s">
        <v>59</v>
      </c>
      <c r="E305" t="s">
        <v>67</v>
      </c>
      <c r="F305">
        <v>72</v>
      </c>
      <c r="G305" t="s">
        <v>0</v>
      </c>
      <c r="H305" s="2">
        <v>9</v>
      </c>
      <c r="I305" s="3">
        <v>0.18785567306752626</v>
      </c>
      <c r="J305">
        <f>PRODUCT(Table3[[#This Row],[Price of One Product]],Table3[[#This Row],[No of Products in one Sale]])</f>
        <v>648</v>
      </c>
      <c r="K305" s="6">
        <f>Table3[[#This Row],[Actual Sale]]*(1-Table3[[#This Row],[Discount]])</f>
        <v>526.26952385224297</v>
      </c>
      <c r="L305" t="str">
        <f>TEXT(Table3[[#This Row],[Sale Date]],"dddd")</f>
        <v>Saturday</v>
      </c>
    </row>
    <row r="306" spans="1:12" x14ac:dyDescent="0.3">
      <c r="A306" t="s">
        <v>329</v>
      </c>
      <c r="B306" t="s">
        <v>51</v>
      </c>
      <c r="C306" s="1">
        <v>44747</v>
      </c>
      <c r="D306" t="s">
        <v>60</v>
      </c>
      <c r="E306" t="s">
        <v>66</v>
      </c>
      <c r="F306">
        <v>65</v>
      </c>
      <c r="G306" t="s">
        <v>1</v>
      </c>
      <c r="H306" s="2">
        <v>8</v>
      </c>
      <c r="I306" s="3">
        <v>0.69234786906479862</v>
      </c>
      <c r="J306">
        <f>PRODUCT(Table3[[#This Row],[Price of One Product]],Table3[[#This Row],[No of Products in one Sale]])</f>
        <v>520</v>
      </c>
      <c r="K306" s="6">
        <f>Table3[[#This Row],[Actual Sale]]*(1-Table3[[#This Row],[Discount]])</f>
        <v>159.97910808630473</v>
      </c>
      <c r="L306" t="str">
        <f>TEXT(Table3[[#This Row],[Sale Date]],"dddd")</f>
        <v>Tuesday</v>
      </c>
    </row>
    <row r="307" spans="1:12" x14ac:dyDescent="0.3">
      <c r="A307" t="s">
        <v>330</v>
      </c>
      <c r="B307" t="s">
        <v>52</v>
      </c>
      <c r="C307" s="1">
        <v>44754</v>
      </c>
      <c r="D307" t="s">
        <v>61</v>
      </c>
      <c r="E307" t="s">
        <v>67</v>
      </c>
      <c r="F307">
        <v>250</v>
      </c>
      <c r="G307" t="s">
        <v>2</v>
      </c>
      <c r="H307" s="2">
        <v>3</v>
      </c>
      <c r="I307" s="3">
        <v>0.7313105471637672</v>
      </c>
      <c r="J307">
        <f>PRODUCT(Table3[[#This Row],[Price of One Product]],Table3[[#This Row],[No of Products in one Sale]])</f>
        <v>750</v>
      </c>
      <c r="K307" s="6">
        <f>Table3[[#This Row],[Actual Sale]]*(1-Table3[[#This Row],[Discount]])</f>
        <v>201.51708962717461</v>
      </c>
      <c r="L307" t="str">
        <f>TEXT(Table3[[#This Row],[Sale Date]],"dddd")</f>
        <v>Tuesday</v>
      </c>
    </row>
    <row r="308" spans="1:12" x14ac:dyDescent="0.3">
      <c r="A308" t="s">
        <v>331</v>
      </c>
      <c r="B308" t="s">
        <v>53</v>
      </c>
      <c r="C308" s="1">
        <v>44760</v>
      </c>
      <c r="D308" t="s">
        <v>62</v>
      </c>
      <c r="E308" t="s">
        <v>66</v>
      </c>
      <c r="F308">
        <v>130</v>
      </c>
      <c r="G308" t="s">
        <v>0</v>
      </c>
      <c r="H308" s="2">
        <v>3</v>
      </c>
      <c r="I308" s="3">
        <v>0.39651294953245186</v>
      </c>
      <c r="J308">
        <f>PRODUCT(Table3[[#This Row],[Price of One Product]],Table3[[#This Row],[No of Products in one Sale]])</f>
        <v>390</v>
      </c>
      <c r="K308" s="6">
        <f>Table3[[#This Row],[Actual Sale]]*(1-Table3[[#This Row],[Discount]])</f>
        <v>235.35994968234377</v>
      </c>
      <c r="L308" t="str">
        <f>TEXT(Table3[[#This Row],[Sale Date]],"dddd")</f>
        <v>Monday</v>
      </c>
    </row>
    <row r="309" spans="1:12" x14ac:dyDescent="0.3">
      <c r="A309" t="s">
        <v>332</v>
      </c>
      <c r="B309" t="s">
        <v>54</v>
      </c>
      <c r="C309" s="1">
        <v>44759</v>
      </c>
      <c r="D309" t="s">
        <v>59</v>
      </c>
      <c r="E309" t="s">
        <v>67</v>
      </c>
      <c r="F309">
        <v>72</v>
      </c>
      <c r="G309" t="s">
        <v>1</v>
      </c>
      <c r="H309" s="2">
        <v>5</v>
      </c>
      <c r="I309" s="3">
        <v>0.47053293956185105</v>
      </c>
      <c r="J309">
        <f>PRODUCT(Table3[[#This Row],[Price of One Product]],Table3[[#This Row],[No of Products in one Sale]])</f>
        <v>360</v>
      </c>
      <c r="K309" s="6">
        <f>Table3[[#This Row],[Actual Sale]]*(1-Table3[[#This Row],[Discount]])</f>
        <v>190.60814175773362</v>
      </c>
      <c r="L309" t="str">
        <f>TEXT(Table3[[#This Row],[Sale Date]],"dddd")</f>
        <v>Sunday</v>
      </c>
    </row>
    <row r="310" spans="1:12" x14ac:dyDescent="0.3">
      <c r="A310" t="s">
        <v>333</v>
      </c>
      <c r="B310" t="s">
        <v>51</v>
      </c>
      <c r="C310" s="1">
        <v>44735</v>
      </c>
      <c r="D310" t="s">
        <v>60</v>
      </c>
      <c r="E310" t="s">
        <v>66</v>
      </c>
      <c r="F310">
        <v>65</v>
      </c>
      <c r="G310" t="s">
        <v>2</v>
      </c>
      <c r="H310" s="2">
        <v>9</v>
      </c>
      <c r="I310" s="3">
        <v>0.9022424845836422</v>
      </c>
      <c r="J310">
        <f>PRODUCT(Table3[[#This Row],[Price of One Product]],Table3[[#This Row],[No of Products in one Sale]])</f>
        <v>585</v>
      </c>
      <c r="K310" s="6">
        <f>Table3[[#This Row],[Actual Sale]]*(1-Table3[[#This Row],[Discount]])</f>
        <v>57.188146518569312</v>
      </c>
      <c r="L310" t="str">
        <f>TEXT(Table3[[#This Row],[Sale Date]],"dddd")</f>
        <v>Thursday</v>
      </c>
    </row>
    <row r="311" spans="1:12" x14ac:dyDescent="0.3">
      <c r="A311" t="s">
        <v>334</v>
      </c>
      <c r="B311" t="s">
        <v>52</v>
      </c>
      <c r="C311" s="1">
        <v>44734</v>
      </c>
      <c r="D311" t="s">
        <v>61</v>
      </c>
      <c r="E311" t="s">
        <v>67</v>
      </c>
      <c r="F311">
        <v>250</v>
      </c>
      <c r="G311" t="s">
        <v>0</v>
      </c>
      <c r="H311" s="2">
        <v>1</v>
      </c>
      <c r="I311" s="3">
        <v>0.25057968884738369</v>
      </c>
      <c r="J311">
        <f>PRODUCT(Table3[[#This Row],[Price of One Product]],Table3[[#This Row],[No of Products in one Sale]])</f>
        <v>250</v>
      </c>
      <c r="K311" s="6">
        <f>Table3[[#This Row],[Actual Sale]]*(1-Table3[[#This Row],[Discount]])</f>
        <v>187.35507778815409</v>
      </c>
      <c r="L311" t="str">
        <f>TEXT(Table3[[#This Row],[Sale Date]],"dddd")</f>
        <v>Wednesday</v>
      </c>
    </row>
    <row r="312" spans="1:12" x14ac:dyDescent="0.3">
      <c r="A312" t="s">
        <v>335</v>
      </c>
      <c r="B312" t="s">
        <v>53</v>
      </c>
      <c r="C312" s="1">
        <v>44753</v>
      </c>
      <c r="D312" t="s">
        <v>62</v>
      </c>
      <c r="E312" t="s">
        <v>66</v>
      </c>
      <c r="F312">
        <v>130</v>
      </c>
      <c r="G312" t="s">
        <v>1</v>
      </c>
      <c r="H312" s="2">
        <v>4</v>
      </c>
      <c r="I312" s="3">
        <v>0.56892266919679113</v>
      </c>
      <c r="J312">
        <f>PRODUCT(Table3[[#This Row],[Price of One Product]],Table3[[#This Row],[No of Products in one Sale]])</f>
        <v>520</v>
      </c>
      <c r="K312" s="6">
        <f>Table3[[#This Row],[Actual Sale]]*(1-Table3[[#This Row],[Discount]])</f>
        <v>224.16021201766861</v>
      </c>
      <c r="L312" t="str">
        <f>TEXT(Table3[[#This Row],[Sale Date]],"dddd")</f>
        <v>Monday</v>
      </c>
    </row>
    <row r="313" spans="1:12" x14ac:dyDescent="0.3">
      <c r="A313" t="s">
        <v>336</v>
      </c>
      <c r="B313" t="s">
        <v>54</v>
      </c>
      <c r="C313" s="1">
        <v>44739</v>
      </c>
      <c r="D313" t="s">
        <v>63</v>
      </c>
      <c r="E313" t="s">
        <v>67</v>
      </c>
      <c r="F313">
        <v>60</v>
      </c>
      <c r="G313" t="s">
        <v>2</v>
      </c>
      <c r="H313" s="2">
        <v>6</v>
      </c>
      <c r="I313" s="3">
        <v>3.357106137416721E-2</v>
      </c>
      <c r="J313">
        <f>PRODUCT(Table3[[#This Row],[Price of One Product]],Table3[[#This Row],[No of Products in one Sale]])</f>
        <v>360</v>
      </c>
      <c r="K313" s="6">
        <f>Table3[[#This Row],[Actual Sale]]*(1-Table3[[#This Row],[Discount]])</f>
        <v>347.91441790529979</v>
      </c>
      <c r="L313" t="str">
        <f>TEXT(Table3[[#This Row],[Sale Date]],"dddd")</f>
        <v>Monday</v>
      </c>
    </row>
    <row r="314" spans="1:12" x14ac:dyDescent="0.3">
      <c r="A314" t="s">
        <v>337</v>
      </c>
      <c r="B314" t="s">
        <v>55</v>
      </c>
      <c r="C314" s="1">
        <v>44740</v>
      </c>
      <c r="D314" t="s">
        <v>64</v>
      </c>
      <c r="E314" t="s">
        <v>66</v>
      </c>
      <c r="F314">
        <v>95</v>
      </c>
      <c r="G314" t="s">
        <v>0</v>
      </c>
      <c r="H314" s="2">
        <v>4</v>
      </c>
      <c r="I314" s="3">
        <v>0.11797039324964398</v>
      </c>
      <c r="J314">
        <f>PRODUCT(Table3[[#This Row],[Price of One Product]],Table3[[#This Row],[No of Products in one Sale]])</f>
        <v>380</v>
      </c>
      <c r="K314" s="6">
        <f>Table3[[#This Row],[Actual Sale]]*(1-Table3[[#This Row],[Discount]])</f>
        <v>335.17125056513527</v>
      </c>
      <c r="L314" t="str">
        <f>TEXT(Table3[[#This Row],[Sale Date]],"dddd")</f>
        <v>Tuesday</v>
      </c>
    </row>
    <row r="315" spans="1:12" x14ac:dyDescent="0.3">
      <c r="A315" t="s">
        <v>338</v>
      </c>
      <c r="B315" t="s">
        <v>56</v>
      </c>
      <c r="C315" s="1">
        <v>44748</v>
      </c>
      <c r="D315" t="s">
        <v>59</v>
      </c>
      <c r="E315" t="s">
        <v>67</v>
      </c>
      <c r="F315">
        <v>72</v>
      </c>
      <c r="G315" t="s">
        <v>1</v>
      </c>
      <c r="H315" s="2">
        <v>8</v>
      </c>
      <c r="I315" s="3">
        <v>2.8176385964748696E-2</v>
      </c>
      <c r="J315">
        <f>PRODUCT(Table3[[#This Row],[Price of One Product]],Table3[[#This Row],[No of Products in one Sale]])</f>
        <v>576</v>
      </c>
      <c r="K315" s="6">
        <f>Table3[[#This Row],[Actual Sale]]*(1-Table3[[#This Row],[Discount]])</f>
        <v>559.77040168430472</v>
      </c>
      <c r="L315" t="str">
        <f>TEXT(Table3[[#This Row],[Sale Date]],"dddd")</f>
        <v>Wednesday</v>
      </c>
    </row>
    <row r="316" spans="1:12" x14ac:dyDescent="0.3">
      <c r="A316" t="s">
        <v>339</v>
      </c>
      <c r="B316" t="s">
        <v>51</v>
      </c>
      <c r="C316" s="1">
        <v>44731</v>
      </c>
      <c r="D316" t="s">
        <v>60</v>
      </c>
      <c r="E316" t="s">
        <v>66</v>
      </c>
      <c r="F316">
        <v>65</v>
      </c>
      <c r="G316" t="s">
        <v>2</v>
      </c>
      <c r="H316" s="2">
        <v>8</v>
      </c>
      <c r="I316" s="3">
        <v>0.66941136725758887</v>
      </c>
      <c r="J316">
        <f>PRODUCT(Table3[[#This Row],[Price of One Product]],Table3[[#This Row],[No of Products in one Sale]])</f>
        <v>520</v>
      </c>
      <c r="K316" s="6">
        <f>Table3[[#This Row],[Actual Sale]]*(1-Table3[[#This Row],[Discount]])</f>
        <v>171.90608902605379</v>
      </c>
      <c r="L316" t="str">
        <f>TEXT(Table3[[#This Row],[Sale Date]],"dddd")</f>
        <v>Sunday</v>
      </c>
    </row>
    <row r="317" spans="1:12" x14ac:dyDescent="0.3">
      <c r="A317" t="s">
        <v>340</v>
      </c>
      <c r="B317" t="s">
        <v>52</v>
      </c>
      <c r="C317" s="1">
        <v>44763</v>
      </c>
      <c r="D317" t="s">
        <v>61</v>
      </c>
      <c r="E317" t="s">
        <v>67</v>
      </c>
      <c r="F317">
        <v>250</v>
      </c>
      <c r="G317" t="s">
        <v>0</v>
      </c>
      <c r="H317" s="2">
        <v>2</v>
      </c>
      <c r="I317" s="3">
        <v>0.36448172495541775</v>
      </c>
      <c r="J317">
        <f>PRODUCT(Table3[[#This Row],[Price of One Product]],Table3[[#This Row],[No of Products in one Sale]])</f>
        <v>500</v>
      </c>
      <c r="K317" s="6">
        <f>Table3[[#This Row],[Actual Sale]]*(1-Table3[[#This Row],[Discount]])</f>
        <v>317.7591375222911</v>
      </c>
      <c r="L317" t="str">
        <f>TEXT(Table3[[#This Row],[Sale Date]],"dddd")</f>
        <v>Thursday</v>
      </c>
    </row>
    <row r="318" spans="1:12" x14ac:dyDescent="0.3">
      <c r="A318" t="s">
        <v>341</v>
      </c>
      <c r="B318" t="s">
        <v>53</v>
      </c>
      <c r="C318" s="1">
        <v>44733</v>
      </c>
      <c r="D318" t="s">
        <v>62</v>
      </c>
      <c r="E318" t="s">
        <v>66</v>
      </c>
      <c r="F318">
        <v>130</v>
      </c>
      <c r="G318" t="s">
        <v>1</v>
      </c>
      <c r="H318" s="2">
        <v>7</v>
      </c>
      <c r="I318" s="3">
        <v>0.15416488306079768</v>
      </c>
      <c r="J318">
        <f>PRODUCT(Table3[[#This Row],[Price of One Product]],Table3[[#This Row],[No of Products in one Sale]])</f>
        <v>910</v>
      </c>
      <c r="K318" s="6">
        <f>Table3[[#This Row],[Actual Sale]]*(1-Table3[[#This Row],[Discount]])</f>
        <v>769.70995641467414</v>
      </c>
      <c r="L318" t="str">
        <f>TEXT(Table3[[#This Row],[Sale Date]],"dddd")</f>
        <v>Tuesday</v>
      </c>
    </row>
    <row r="319" spans="1:12" x14ac:dyDescent="0.3">
      <c r="A319" t="s">
        <v>342</v>
      </c>
      <c r="B319" t="s">
        <v>54</v>
      </c>
      <c r="C319" s="1">
        <v>44746</v>
      </c>
      <c r="D319" t="s">
        <v>59</v>
      </c>
      <c r="E319" t="s">
        <v>67</v>
      </c>
      <c r="F319">
        <v>72</v>
      </c>
      <c r="G319" t="s">
        <v>2</v>
      </c>
      <c r="H319" s="2">
        <v>7</v>
      </c>
      <c r="I319" s="3">
        <v>0.66646609625242947</v>
      </c>
      <c r="J319">
        <f>PRODUCT(Table3[[#This Row],[Price of One Product]],Table3[[#This Row],[No of Products in one Sale]])</f>
        <v>504</v>
      </c>
      <c r="K319" s="6">
        <f>Table3[[#This Row],[Actual Sale]]*(1-Table3[[#This Row],[Discount]])</f>
        <v>168.10108748877553</v>
      </c>
      <c r="L319" t="str">
        <f>TEXT(Table3[[#This Row],[Sale Date]],"dddd")</f>
        <v>Monday</v>
      </c>
    </row>
    <row r="320" spans="1:12" x14ac:dyDescent="0.3">
      <c r="A320" t="s">
        <v>343</v>
      </c>
      <c r="B320" t="s">
        <v>51</v>
      </c>
      <c r="C320" s="1">
        <v>44755</v>
      </c>
      <c r="D320" t="s">
        <v>60</v>
      </c>
      <c r="E320" t="s">
        <v>66</v>
      </c>
      <c r="F320">
        <v>65</v>
      </c>
      <c r="G320" t="s">
        <v>0</v>
      </c>
      <c r="H320" s="2">
        <v>4</v>
      </c>
      <c r="I320" s="3">
        <v>0.69183752034253276</v>
      </c>
      <c r="J320">
        <f>PRODUCT(Table3[[#This Row],[Price of One Product]],Table3[[#This Row],[No of Products in one Sale]])</f>
        <v>260</v>
      </c>
      <c r="K320" s="6">
        <f>Table3[[#This Row],[Actual Sale]]*(1-Table3[[#This Row],[Discount]])</f>
        <v>80.122244710941487</v>
      </c>
      <c r="L320" t="str">
        <f>TEXT(Table3[[#This Row],[Sale Date]],"dddd")</f>
        <v>Wednesday</v>
      </c>
    </row>
    <row r="321" spans="1:12" x14ac:dyDescent="0.3">
      <c r="A321" t="s">
        <v>344</v>
      </c>
      <c r="B321" t="s">
        <v>52</v>
      </c>
      <c r="C321" s="1">
        <v>44755</v>
      </c>
      <c r="D321" t="s">
        <v>61</v>
      </c>
      <c r="E321" t="s">
        <v>67</v>
      </c>
      <c r="F321">
        <v>250</v>
      </c>
      <c r="G321" t="s">
        <v>1</v>
      </c>
      <c r="H321" s="2">
        <v>2</v>
      </c>
      <c r="I321" s="3">
        <v>0.14649599591234685</v>
      </c>
      <c r="J321">
        <f>PRODUCT(Table3[[#This Row],[Price of One Product]],Table3[[#This Row],[No of Products in one Sale]])</f>
        <v>500</v>
      </c>
      <c r="K321" s="6">
        <f>Table3[[#This Row],[Actual Sale]]*(1-Table3[[#This Row],[Discount]])</f>
        <v>426.75200204382656</v>
      </c>
      <c r="L321" t="str">
        <f>TEXT(Table3[[#This Row],[Sale Date]],"dddd")</f>
        <v>Wednesday</v>
      </c>
    </row>
    <row r="322" spans="1:12" x14ac:dyDescent="0.3">
      <c r="A322" t="s">
        <v>345</v>
      </c>
      <c r="B322" t="s">
        <v>53</v>
      </c>
      <c r="C322" s="1">
        <v>44727</v>
      </c>
      <c r="D322" t="s">
        <v>62</v>
      </c>
      <c r="E322" t="s">
        <v>66</v>
      </c>
      <c r="F322">
        <v>130</v>
      </c>
      <c r="G322" t="s">
        <v>2</v>
      </c>
      <c r="H322" s="2">
        <v>2</v>
      </c>
      <c r="I322" s="3">
        <v>0.98540635482364014</v>
      </c>
      <c r="J322">
        <f>PRODUCT(Table3[[#This Row],[Price of One Product]],Table3[[#This Row],[No of Products in one Sale]])</f>
        <v>260</v>
      </c>
      <c r="K322" s="6">
        <f>Table3[[#This Row],[Actual Sale]]*(1-Table3[[#This Row],[Discount]])</f>
        <v>3.7943477458535635</v>
      </c>
      <c r="L322" t="str">
        <f>TEXT(Table3[[#This Row],[Sale Date]],"dddd")</f>
        <v>Wednesday</v>
      </c>
    </row>
    <row r="323" spans="1:12" x14ac:dyDescent="0.3">
      <c r="A323" t="s">
        <v>346</v>
      </c>
      <c r="B323" t="s">
        <v>54</v>
      </c>
      <c r="C323" s="1">
        <v>44746</v>
      </c>
      <c r="D323" t="s">
        <v>59</v>
      </c>
      <c r="E323" t="s">
        <v>67</v>
      </c>
      <c r="F323">
        <v>72</v>
      </c>
      <c r="G323" t="s">
        <v>0</v>
      </c>
      <c r="H323" s="2">
        <v>9</v>
      </c>
      <c r="I323" s="3">
        <v>0.32091320735788698</v>
      </c>
      <c r="J323">
        <f>PRODUCT(Table3[[#This Row],[Price of One Product]],Table3[[#This Row],[No of Products in one Sale]])</f>
        <v>648</v>
      </c>
      <c r="K323" s="6">
        <f>Table3[[#This Row],[Actual Sale]]*(1-Table3[[#This Row],[Discount]])</f>
        <v>440.04824163208923</v>
      </c>
      <c r="L323" t="str">
        <f>TEXT(Table3[[#This Row],[Sale Date]],"dddd")</f>
        <v>Monday</v>
      </c>
    </row>
    <row r="324" spans="1:12" x14ac:dyDescent="0.3">
      <c r="A324" t="s">
        <v>347</v>
      </c>
      <c r="B324" t="s">
        <v>51</v>
      </c>
      <c r="C324" s="1">
        <v>44740</v>
      </c>
      <c r="D324" t="s">
        <v>60</v>
      </c>
      <c r="E324" t="s">
        <v>67</v>
      </c>
      <c r="F324">
        <v>65</v>
      </c>
      <c r="G324" t="s">
        <v>0</v>
      </c>
      <c r="H324" s="2">
        <v>9</v>
      </c>
      <c r="I324" s="3">
        <v>0.94495394109275654</v>
      </c>
      <c r="J324">
        <f>PRODUCT(Table3[[#This Row],[Price of One Product]],Table3[[#This Row],[No of Products in one Sale]])</f>
        <v>585</v>
      </c>
      <c r="K324" s="6">
        <f>Table3[[#This Row],[Actual Sale]]*(1-Table3[[#This Row],[Discount]])</f>
        <v>32.201944460737423</v>
      </c>
      <c r="L324" t="str">
        <f>TEXT(Table3[[#This Row],[Sale Date]],"dddd")</f>
        <v>Tuesday</v>
      </c>
    </row>
    <row r="325" spans="1:12" x14ac:dyDescent="0.3">
      <c r="A325" t="s">
        <v>348</v>
      </c>
      <c r="B325" t="s">
        <v>52</v>
      </c>
      <c r="C325" s="1">
        <v>44743</v>
      </c>
      <c r="D325" t="s">
        <v>61</v>
      </c>
      <c r="E325" t="s">
        <v>67</v>
      </c>
      <c r="F325">
        <v>250</v>
      </c>
      <c r="G325" t="s">
        <v>1</v>
      </c>
      <c r="H325" s="2">
        <v>2</v>
      </c>
      <c r="I325" s="3">
        <v>0.50906748027199666</v>
      </c>
      <c r="J325">
        <f>PRODUCT(Table3[[#This Row],[Price of One Product]],Table3[[#This Row],[No of Products in one Sale]])</f>
        <v>500</v>
      </c>
      <c r="K325" s="6">
        <f>Table3[[#This Row],[Actual Sale]]*(1-Table3[[#This Row],[Discount]])</f>
        <v>245.46625986400167</v>
      </c>
      <c r="L325" t="str">
        <f>TEXT(Table3[[#This Row],[Sale Date]],"dddd")</f>
        <v>Friday</v>
      </c>
    </row>
    <row r="326" spans="1:12" x14ac:dyDescent="0.3">
      <c r="A326" t="s">
        <v>349</v>
      </c>
      <c r="B326" t="s">
        <v>53</v>
      </c>
      <c r="C326" s="1">
        <v>44737</v>
      </c>
      <c r="D326" t="s">
        <v>62</v>
      </c>
      <c r="E326" t="s">
        <v>67</v>
      </c>
      <c r="F326">
        <v>130</v>
      </c>
      <c r="G326" t="s">
        <v>2</v>
      </c>
      <c r="H326" s="2">
        <v>4</v>
      </c>
      <c r="I326" s="3">
        <v>0.66059053266706258</v>
      </c>
      <c r="J326">
        <f>PRODUCT(Table3[[#This Row],[Price of One Product]],Table3[[#This Row],[No of Products in one Sale]])</f>
        <v>520</v>
      </c>
      <c r="K326" s="6">
        <f>Table3[[#This Row],[Actual Sale]]*(1-Table3[[#This Row],[Discount]])</f>
        <v>176.49292301312747</v>
      </c>
      <c r="L326" t="str">
        <f>TEXT(Table3[[#This Row],[Sale Date]],"dddd")</f>
        <v>Saturday</v>
      </c>
    </row>
    <row r="327" spans="1:12" x14ac:dyDescent="0.3">
      <c r="A327" t="s">
        <v>350</v>
      </c>
      <c r="B327" t="s">
        <v>54</v>
      </c>
      <c r="C327" s="1">
        <v>44757</v>
      </c>
      <c r="D327" t="s">
        <v>59</v>
      </c>
      <c r="E327" t="s">
        <v>67</v>
      </c>
      <c r="F327">
        <v>72</v>
      </c>
      <c r="G327" t="s">
        <v>0</v>
      </c>
      <c r="H327" s="2">
        <v>8</v>
      </c>
      <c r="I327" s="3">
        <v>0.89615601403703116</v>
      </c>
      <c r="J327">
        <f>PRODUCT(Table3[[#This Row],[Price of One Product]],Table3[[#This Row],[No of Products in one Sale]])</f>
        <v>576</v>
      </c>
      <c r="K327" s="6">
        <f>Table3[[#This Row],[Actual Sale]]*(1-Table3[[#This Row],[Discount]])</f>
        <v>59.814135914670054</v>
      </c>
      <c r="L327" t="str">
        <f>TEXT(Table3[[#This Row],[Sale Date]],"dddd")</f>
        <v>Friday</v>
      </c>
    </row>
    <row r="328" spans="1:12" x14ac:dyDescent="0.3">
      <c r="A328" t="s">
        <v>351</v>
      </c>
      <c r="B328" t="s">
        <v>51</v>
      </c>
      <c r="C328" s="1">
        <v>44745</v>
      </c>
      <c r="D328" t="s">
        <v>60</v>
      </c>
      <c r="E328" t="s">
        <v>66</v>
      </c>
      <c r="F328">
        <v>65</v>
      </c>
      <c r="G328" t="s">
        <v>1</v>
      </c>
      <c r="H328" s="2">
        <v>8</v>
      </c>
      <c r="I328" s="3">
        <v>0.133950017527805</v>
      </c>
      <c r="J328">
        <f>PRODUCT(Table3[[#This Row],[Price of One Product]],Table3[[#This Row],[No of Products in one Sale]])</f>
        <v>520</v>
      </c>
      <c r="K328" s="6">
        <f>Table3[[#This Row],[Actual Sale]]*(1-Table3[[#This Row],[Discount]])</f>
        <v>450.34599088554143</v>
      </c>
      <c r="L328" t="str">
        <f>TEXT(Table3[[#This Row],[Sale Date]],"dddd")</f>
        <v>Sunday</v>
      </c>
    </row>
    <row r="329" spans="1:12" x14ac:dyDescent="0.3">
      <c r="A329" t="s">
        <v>352</v>
      </c>
      <c r="B329" t="s">
        <v>52</v>
      </c>
      <c r="C329" s="1">
        <v>44760</v>
      </c>
      <c r="D329" t="s">
        <v>61</v>
      </c>
      <c r="E329" t="s">
        <v>67</v>
      </c>
      <c r="F329">
        <v>250</v>
      </c>
      <c r="G329" t="s">
        <v>2</v>
      </c>
      <c r="H329" s="2">
        <v>4</v>
      </c>
      <c r="I329" s="3">
        <v>0.3823797297998468</v>
      </c>
      <c r="J329">
        <f>PRODUCT(Table3[[#This Row],[Price of One Product]],Table3[[#This Row],[No of Products in one Sale]])</f>
        <v>1000</v>
      </c>
      <c r="K329" s="6">
        <f>Table3[[#This Row],[Actual Sale]]*(1-Table3[[#This Row],[Discount]])</f>
        <v>617.62027020015319</v>
      </c>
      <c r="L329" t="str">
        <f>TEXT(Table3[[#This Row],[Sale Date]],"dddd")</f>
        <v>Monday</v>
      </c>
    </row>
    <row r="330" spans="1:12" x14ac:dyDescent="0.3">
      <c r="A330" t="s">
        <v>353</v>
      </c>
      <c r="B330" t="s">
        <v>53</v>
      </c>
      <c r="C330" s="1">
        <v>44750</v>
      </c>
      <c r="D330" t="s">
        <v>62</v>
      </c>
      <c r="E330" t="s">
        <v>66</v>
      </c>
      <c r="F330">
        <v>130</v>
      </c>
      <c r="G330" t="s">
        <v>0</v>
      </c>
      <c r="H330" s="2">
        <v>2</v>
      </c>
      <c r="I330" s="3">
        <v>0.15073825601342095</v>
      </c>
      <c r="J330">
        <f>PRODUCT(Table3[[#This Row],[Price of One Product]],Table3[[#This Row],[No of Products in one Sale]])</f>
        <v>260</v>
      </c>
      <c r="K330" s="6">
        <f>Table3[[#This Row],[Actual Sale]]*(1-Table3[[#This Row],[Discount]])</f>
        <v>220.80805343651056</v>
      </c>
      <c r="L330" t="str">
        <f>TEXT(Table3[[#This Row],[Sale Date]],"dddd")</f>
        <v>Friday</v>
      </c>
    </row>
    <row r="331" spans="1:12" x14ac:dyDescent="0.3">
      <c r="A331" t="s">
        <v>354</v>
      </c>
      <c r="B331" t="s">
        <v>54</v>
      </c>
      <c r="C331" s="1">
        <v>44742</v>
      </c>
      <c r="D331" t="s">
        <v>63</v>
      </c>
      <c r="E331" t="s">
        <v>67</v>
      </c>
      <c r="F331">
        <v>60</v>
      </c>
      <c r="G331" t="s">
        <v>1</v>
      </c>
      <c r="H331" s="2">
        <v>10</v>
      </c>
      <c r="I331" s="3">
        <v>0.96395128247903139</v>
      </c>
      <c r="J331">
        <f>PRODUCT(Table3[[#This Row],[Price of One Product]],Table3[[#This Row],[No of Products in one Sale]])</f>
        <v>600</v>
      </c>
      <c r="K331" s="6">
        <f>Table3[[#This Row],[Actual Sale]]*(1-Table3[[#This Row],[Discount]])</f>
        <v>21.629230512581167</v>
      </c>
      <c r="L331" t="str">
        <f>TEXT(Table3[[#This Row],[Sale Date]],"dddd")</f>
        <v>Thursday</v>
      </c>
    </row>
    <row r="332" spans="1:12" x14ac:dyDescent="0.3">
      <c r="A332" t="s">
        <v>355</v>
      </c>
      <c r="B332" t="s">
        <v>55</v>
      </c>
      <c r="C332" s="1">
        <v>44754</v>
      </c>
      <c r="D332" t="s">
        <v>59</v>
      </c>
      <c r="E332" t="s">
        <v>66</v>
      </c>
      <c r="F332">
        <v>72</v>
      </c>
      <c r="G332" t="s">
        <v>2</v>
      </c>
      <c r="H332" s="2">
        <v>5</v>
      </c>
      <c r="I332" s="3">
        <v>0.93894083705684528</v>
      </c>
      <c r="J332">
        <f>PRODUCT(Table3[[#This Row],[Price of One Product]],Table3[[#This Row],[No of Products in one Sale]])</f>
        <v>360</v>
      </c>
      <c r="K332" s="6">
        <f>Table3[[#This Row],[Actual Sale]]*(1-Table3[[#This Row],[Discount]])</f>
        <v>21.9812986595357</v>
      </c>
      <c r="L332" t="str">
        <f>TEXT(Table3[[#This Row],[Sale Date]],"dddd")</f>
        <v>Tuesday</v>
      </c>
    </row>
    <row r="333" spans="1:12" x14ac:dyDescent="0.3">
      <c r="A333" t="s">
        <v>356</v>
      </c>
      <c r="B333" t="s">
        <v>51</v>
      </c>
      <c r="C333" s="1">
        <v>44746</v>
      </c>
      <c r="D333" t="s">
        <v>60</v>
      </c>
      <c r="E333" t="s">
        <v>67</v>
      </c>
      <c r="F333">
        <v>65</v>
      </c>
      <c r="G333" t="s">
        <v>0</v>
      </c>
      <c r="H333" s="2">
        <v>7</v>
      </c>
      <c r="I333" s="3">
        <v>0.90335270578489546</v>
      </c>
      <c r="J333">
        <f>PRODUCT(Table3[[#This Row],[Price of One Product]],Table3[[#This Row],[No of Products in one Sale]])</f>
        <v>455</v>
      </c>
      <c r="K333" s="6">
        <f>Table3[[#This Row],[Actual Sale]]*(1-Table3[[#This Row],[Discount]])</f>
        <v>43.974518867872568</v>
      </c>
      <c r="L333" t="str">
        <f>TEXT(Table3[[#This Row],[Sale Date]],"dddd")</f>
        <v>Monday</v>
      </c>
    </row>
    <row r="334" spans="1:12" x14ac:dyDescent="0.3">
      <c r="A334" t="s">
        <v>357</v>
      </c>
      <c r="B334" t="s">
        <v>52</v>
      </c>
      <c r="C334" s="1">
        <v>44752</v>
      </c>
      <c r="D334" t="s">
        <v>61</v>
      </c>
      <c r="E334" t="s">
        <v>66</v>
      </c>
      <c r="F334">
        <v>250</v>
      </c>
      <c r="G334" t="s">
        <v>1</v>
      </c>
      <c r="H334" s="2">
        <v>2</v>
      </c>
      <c r="I334" s="3">
        <v>0.62209777321995885</v>
      </c>
      <c r="J334">
        <f>PRODUCT(Table3[[#This Row],[Price of One Product]],Table3[[#This Row],[No of Products in one Sale]])</f>
        <v>500</v>
      </c>
      <c r="K334" s="6">
        <f>Table3[[#This Row],[Actual Sale]]*(1-Table3[[#This Row],[Discount]])</f>
        <v>188.95111339002057</v>
      </c>
      <c r="L334" t="str">
        <f>TEXT(Table3[[#This Row],[Sale Date]],"dddd")</f>
        <v>Sunday</v>
      </c>
    </row>
    <row r="335" spans="1:12" x14ac:dyDescent="0.3">
      <c r="A335" t="s">
        <v>358</v>
      </c>
      <c r="B335" t="s">
        <v>53</v>
      </c>
      <c r="C335" s="1">
        <v>44725</v>
      </c>
      <c r="D335" t="s">
        <v>62</v>
      </c>
      <c r="E335" t="s">
        <v>67</v>
      </c>
      <c r="F335">
        <v>130</v>
      </c>
      <c r="G335" t="s">
        <v>2</v>
      </c>
      <c r="H335" s="2">
        <v>5</v>
      </c>
      <c r="I335" s="3">
        <v>6.1676790443396468E-2</v>
      </c>
      <c r="J335">
        <f>PRODUCT(Table3[[#This Row],[Price of One Product]],Table3[[#This Row],[No of Products in one Sale]])</f>
        <v>650</v>
      </c>
      <c r="K335" s="6">
        <f>Table3[[#This Row],[Actual Sale]]*(1-Table3[[#This Row],[Discount]])</f>
        <v>609.9100862117923</v>
      </c>
      <c r="L335" t="str">
        <f>TEXT(Table3[[#This Row],[Sale Date]],"dddd")</f>
        <v>Monday</v>
      </c>
    </row>
    <row r="336" spans="1:12" x14ac:dyDescent="0.3">
      <c r="A336" t="s">
        <v>359</v>
      </c>
      <c r="B336" t="s">
        <v>54</v>
      </c>
      <c r="C336" s="1">
        <v>44734</v>
      </c>
      <c r="D336" t="s">
        <v>59</v>
      </c>
      <c r="E336" t="s">
        <v>66</v>
      </c>
      <c r="F336">
        <v>72</v>
      </c>
      <c r="G336" t="s">
        <v>0</v>
      </c>
      <c r="H336" s="2">
        <v>12</v>
      </c>
      <c r="I336" s="3">
        <v>0.49213521317421138</v>
      </c>
      <c r="J336">
        <f>PRODUCT(Table3[[#This Row],[Price of One Product]],Table3[[#This Row],[No of Products in one Sale]])</f>
        <v>864</v>
      </c>
      <c r="K336" s="6">
        <f>Table3[[#This Row],[Actual Sale]]*(1-Table3[[#This Row],[Discount]])</f>
        <v>438.79517581748138</v>
      </c>
      <c r="L336" t="str">
        <f>TEXT(Table3[[#This Row],[Sale Date]],"dddd")</f>
        <v>Wednesday</v>
      </c>
    </row>
    <row r="337" spans="1:12" x14ac:dyDescent="0.3">
      <c r="A337" t="s">
        <v>360</v>
      </c>
      <c r="B337" t="s">
        <v>51</v>
      </c>
      <c r="C337" s="1">
        <v>44761</v>
      </c>
      <c r="D337" t="s">
        <v>60</v>
      </c>
      <c r="E337" t="s">
        <v>67</v>
      </c>
      <c r="F337">
        <v>65</v>
      </c>
      <c r="G337" t="s">
        <v>1</v>
      </c>
      <c r="H337" s="2">
        <v>9</v>
      </c>
      <c r="I337" s="3">
        <v>0.69552711985994919</v>
      </c>
      <c r="J337">
        <f>PRODUCT(Table3[[#This Row],[Price of One Product]],Table3[[#This Row],[No of Products in one Sale]])</f>
        <v>585</v>
      </c>
      <c r="K337" s="6">
        <f>Table3[[#This Row],[Actual Sale]]*(1-Table3[[#This Row],[Discount]])</f>
        <v>178.11663488192971</v>
      </c>
      <c r="L337" t="str">
        <f>TEXT(Table3[[#This Row],[Sale Date]],"dddd")</f>
        <v>Tuesday</v>
      </c>
    </row>
    <row r="338" spans="1:12" x14ac:dyDescent="0.3">
      <c r="A338" t="s">
        <v>361</v>
      </c>
      <c r="B338" t="s">
        <v>52</v>
      </c>
      <c r="C338" s="1">
        <v>44735</v>
      </c>
      <c r="D338" t="s">
        <v>61</v>
      </c>
      <c r="E338" t="s">
        <v>66</v>
      </c>
      <c r="F338">
        <v>250</v>
      </c>
      <c r="G338" t="s">
        <v>2</v>
      </c>
      <c r="H338" s="2">
        <v>4</v>
      </c>
      <c r="I338" s="3">
        <v>0.54528907278354111</v>
      </c>
      <c r="J338">
        <f>PRODUCT(Table3[[#This Row],[Price of One Product]],Table3[[#This Row],[No of Products in one Sale]])</f>
        <v>1000</v>
      </c>
      <c r="K338" s="6">
        <f>Table3[[#This Row],[Actual Sale]]*(1-Table3[[#This Row],[Discount]])</f>
        <v>454.71092721645891</v>
      </c>
      <c r="L338" t="str">
        <f>TEXT(Table3[[#This Row],[Sale Date]],"dddd")</f>
        <v>Thursday</v>
      </c>
    </row>
    <row r="339" spans="1:12" x14ac:dyDescent="0.3">
      <c r="A339" t="s">
        <v>362</v>
      </c>
      <c r="B339" t="s">
        <v>53</v>
      </c>
      <c r="C339" s="1">
        <v>44753</v>
      </c>
      <c r="D339" t="s">
        <v>62</v>
      </c>
      <c r="E339" t="s">
        <v>67</v>
      </c>
      <c r="F339">
        <v>130</v>
      </c>
      <c r="G339" t="s">
        <v>0</v>
      </c>
      <c r="H339" s="2">
        <v>4</v>
      </c>
      <c r="I339" s="3">
        <v>0.35199536538224718</v>
      </c>
      <c r="J339">
        <f>PRODUCT(Table3[[#This Row],[Price of One Product]],Table3[[#This Row],[No of Products in one Sale]])</f>
        <v>520</v>
      </c>
      <c r="K339" s="6">
        <f>Table3[[#This Row],[Actual Sale]]*(1-Table3[[#This Row],[Discount]])</f>
        <v>336.96241000123149</v>
      </c>
      <c r="L339" t="str">
        <f>TEXT(Table3[[#This Row],[Sale Date]],"dddd")</f>
        <v>Monday</v>
      </c>
    </row>
    <row r="340" spans="1:12" x14ac:dyDescent="0.3">
      <c r="A340" t="s">
        <v>363</v>
      </c>
      <c r="B340" t="s">
        <v>54</v>
      </c>
      <c r="C340" s="1">
        <v>44732</v>
      </c>
      <c r="D340" t="s">
        <v>63</v>
      </c>
      <c r="E340" t="s">
        <v>66</v>
      </c>
      <c r="F340">
        <v>60</v>
      </c>
      <c r="G340" t="s">
        <v>1</v>
      </c>
      <c r="H340" s="2">
        <v>6</v>
      </c>
      <c r="I340" s="3">
        <v>6.0292533629099143E-2</v>
      </c>
      <c r="J340">
        <f>PRODUCT(Table3[[#This Row],[Price of One Product]],Table3[[#This Row],[No of Products in one Sale]])</f>
        <v>360</v>
      </c>
      <c r="K340" s="6">
        <f>Table3[[#This Row],[Actual Sale]]*(1-Table3[[#This Row],[Discount]])</f>
        <v>338.29468789352433</v>
      </c>
      <c r="L340" t="str">
        <f>TEXT(Table3[[#This Row],[Sale Date]],"dddd")</f>
        <v>Monday</v>
      </c>
    </row>
    <row r="341" spans="1:12" x14ac:dyDescent="0.3">
      <c r="A341" t="s">
        <v>364</v>
      </c>
      <c r="B341" t="s">
        <v>55</v>
      </c>
      <c r="C341" s="1">
        <v>44748</v>
      </c>
      <c r="D341" t="s">
        <v>64</v>
      </c>
      <c r="E341" t="s">
        <v>67</v>
      </c>
      <c r="F341">
        <v>95</v>
      </c>
      <c r="G341" t="s">
        <v>2</v>
      </c>
      <c r="H341" s="2">
        <v>7</v>
      </c>
      <c r="I341" s="3">
        <v>4.1434457281700587E-2</v>
      </c>
      <c r="J341">
        <f>PRODUCT(Table3[[#This Row],[Price of One Product]],Table3[[#This Row],[No of Products in one Sale]])</f>
        <v>665</v>
      </c>
      <c r="K341" s="6">
        <f>Table3[[#This Row],[Actual Sale]]*(1-Table3[[#This Row],[Discount]])</f>
        <v>637.44608590766916</v>
      </c>
      <c r="L341" t="str">
        <f>TEXT(Table3[[#This Row],[Sale Date]],"dddd")</f>
        <v>Wednesday</v>
      </c>
    </row>
    <row r="342" spans="1:12" x14ac:dyDescent="0.3">
      <c r="A342" t="s">
        <v>365</v>
      </c>
      <c r="B342" t="s">
        <v>56</v>
      </c>
      <c r="C342" s="1">
        <v>44731</v>
      </c>
      <c r="D342" t="s">
        <v>59</v>
      </c>
      <c r="E342" t="s">
        <v>66</v>
      </c>
      <c r="F342">
        <v>72</v>
      </c>
      <c r="G342" t="s">
        <v>0</v>
      </c>
      <c r="H342" s="2">
        <v>3</v>
      </c>
      <c r="I342" s="3">
        <v>0.29516274884520199</v>
      </c>
      <c r="J342">
        <f>PRODUCT(Table3[[#This Row],[Price of One Product]],Table3[[#This Row],[No of Products in one Sale]])</f>
        <v>216</v>
      </c>
      <c r="K342" s="6">
        <f>Table3[[#This Row],[Actual Sale]]*(1-Table3[[#This Row],[Discount]])</f>
        <v>152.24484624943636</v>
      </c>
      <c r="L342" t="str">
        <f>TEXT(Table3[[#This Row],[Sale Date]],"dddd")</f>
        <v>Sunday</v>
      </c>
    </row>
    <row r="343" spans="1:12" x14ac:dyDescent="0.3">
      <c r="A343" t="s">
        <v>366</v>
      </c>
      <c r="B343" t="s">
        <v>51</v>
      </c>
      <c r="C343" s="1">
        <v>44725</v>
      </c>
      <c r="D343" t="s">
        <v>60</v>
      </c>
      <c r="E343" t="s">
        <v>67</v>
      </c>
      <c r="F343">
        <v>65</v>
      </c>
      <c r="G343" t="s">
        <v>1</v>
      </c>
      <c r="H343" s="2">
        <v>4</v>
      </c>
      <c r="I343" s="3">
        <v>0.68154294540119276</v>
      </c>
      <c r="J343">
        <f>PRODUCT(Table3[[#This Row],[Price of One Product]],Table3[[#This Row],[No of Products in one Sale]])</f>
        <v>260</v>
      </c>
      <c r="K343" s="6">
        <f>Table3[[#This Row],[Actual Sale]]*(1-Table3[[#This Row],[Discount]])</f>
        <v>82.798834195689878</v>
      </c>
      <c r="L343" t="str">
        <f>TEXT(Table3[[#This Row],[Sale Date]],"dddd")</f>
        <v>Monday</v>
      </c>
    </row>
    <row r="344" spans="1:12" x14ac:dyDescent="0.3">
      <c r="A344" t="s">
        <v>367</v>
      </c>
      <c r="B344" t="s">
        <v>52</v>
      </c>
      <c r="C344" s="1">
        <v>44753</v>
      </c>
      <c r="D344" t="s">
        <v>61</v>
      </c>
      <c r="E344" t="s">
        <v>66</v>
      </c>
      <c r="F344">
        <v>250</v>
      </c>
      <c r="G344" t="s">
        <v>2</v>
      </c>
      <c r="H344" s="2">
        <v>1</v>
      </c>
      <c r="I344" s="3">
        <v>0.52632346520297391</v>
      </c>
      <c r="J344">
        <f>PRODUCT(Table3[[#This Row],[Price of One Product]],Table3[[#This Row],[No of Products in one Sale]])</f>
        <v>250</v>
      </c>
      <c r="K344" s="6">
        <f>Table3[[#This Row],[Actual Sale]]*(1-Table3[[#This Row],[Discount]])</f>
        <v>118.41913369925652</v>
      </c>
      <c r="L344" t="str">
        <f>TEXT(Table3[[#This Row],[Sale Date]],"dddd")</f>
        <v>Monday</v>
      </c>
    </row>
    <row r="345" spans="1:12" x14ac:dyDescent="0.3">
      <c r="A345" t="s">
        <v>368</v>
      </c>
      <c r="B345" t="s">
        <v>53</v>
      </c>
      <c r="C345" s="1">
        <v>44738</v>
      </c>
      <c r="D345" t="s">
        <v>62</v>
      </c>
      <c r="E345" t="s">
        <v>67</v>
      </c>
      <c r="F345">
        <v>130</v>
      </c>
      <c r="G345" t="s">
        <v>0</v>
      </c>
      <c r="H345" s="2">
        <v>6</v>
      </c>
      <c r="I345" s="3">
        <v>5.4437687903536869E-2</v>
      </c>
      <c r="J345">
        <f>PRODUCT(Table3[[#This Row],[Price of One Product]],Table3[[#This Row],[No of Products in one Sale]])</f>
        <v>780</v>
      </c>
      <c r="K345" s="6">
        <f>Table3[[#This Row],[Actual Sale]]*(1-Table3[[#This Row],[Discount]])</f>
        <v>737.53860343524127</v>
      </c>
      <c r="L345" t="str">
        <f>TEXT(Table3[[#This Row],[Sale Date]],"dddd")</f>
        <v>Sunday</v>
      </c>
    </row>
    <row r="346" spans="1:12" x14ac:dyDescent="0.3">
      <c r="A346" t="s">
        <v>369</v>
      </c>
      <c r="B346" t="s">
        <v>54</v>
      </c>
      <c r="C346" s="1">
        <v>44762</v>
      </c>
      <c r="D346" t="s">
        <v>59</v>
      </c>
      <c r="E346" t="s">
        <v>67</v>
      </c>
      <c r="F346">
        <v>72</v>
      </c>
      <c r="G346" t="s">
        <v>1</v>
      </c>
      <c r="H346" s="2">
        <v>10</v>
      </c>
      <c r="I346" s="3">
        <v>0.95350738842174898</v>
      </c>
      <c r="J346">
        <f>PRODUCT(Table3[[#This Row],[Price of One Product]],Table3[[#This Row],[No of Products in one Sale]])</f>
        <v>720</v>
      </c>
      <c r="K346" s="6">
        <f>Table3[[#This Row],[Actual Sale]]*(1-Table3[[#This Row],[Discount]])</f>
        <v>33.474680336340732</v>
      </c>
      <c r="L346" t="str">
        <f>TEXT(Table3[[#This Row],[Sale Date]],"dddd")</f>
        <v>Wednesday</v>
      </c>
    </row>
    <row r="347" spans="1:12" x14ac:dyDescent="0.3">
      <c r="A347" t="s">
        <v>370</v>
      </c>
      <c r="B347" t="s">
        <v>51</v>
      </c>
      <c r="C347" s="1">
        <v>44756</v>
      </c>
      <c r="D347" t="s">
        <v>60</v>
      </c>
      <c r="E347" t="s">
        <v>67</v>
      </c>
      <c r="F347">
        <v>65</v>
      </c>
      <c r="G347" t="s">
        <v>2</v>
      </c>
      <c r="H347" s="2">
        <v>4</v>
      </c>
      <c r="I347" s="3">
        <v>0.46726651348176196</v>
      </c>
      <c r="J347">
        <f>PRODUCT(Table3[[#This Row],[Price of One Product]],Table3[[#This Row],[No of Products in one Sale]])</f>
        <v>260</v>
      </c>
      <c r="K347" s="6">
        <f>Table3[[#This Row],[Actual Sale]]*(1-Table3[[#This Row],[Discount]])</f>
        <v>138.5107064947419</v>
      </c>
      <c r="L347" t="str">
        <f>TEXT(Table3[[#This Row],[Sale Date]],"dddd")</f>
        <v>Thursday</v>
      </c>
    </row>
    <row r="348" spans="1:12" x14ac:dyDescent="0.3">
      <c r="A348" t="s">
        <v>371</v>
      </c>
      <c r="B348" t="s">
        <v>52</v>
      </c>
      <c r="C348" s="1">
        <v>44744</v>
      </c>
      <c r="D348" t="s">
        <v>61</v>
      </c>
      <c r="E348" t="s">
        <v>67</v>
      </c>
      <c r="F348">
        <v>250</v>
      </c>
      <c r="G348" t="s">
        <v>0</v>
      </c>
      <c r="H348" s="2">
        <v>2</v>
      </c>
      <c r="I348" s="3">
        <v>0.6015089815611987</v>
      </c>
      <c r="J348">
        <f>PRODUCT(Table3[[#This Row],[Price of One Product]],Table3[[#This Row],[No of Products in one Sale]])</f>
        <v>500</v>
      </c>
      <c r="K348" s="6">
        <f>Table3[[#This Row],[Actual Sale]]*(1-Table3[[#This Row],[Discount]])</f>
        <v>199.24550921940065</v>
      </c>
      <c r="L348" t="str">
        <f>TEXT(Table3[[#This Row],[Sale Date]],"dddd")</f>
        <v>Saturday</v>
      </c>
    </row>
    <row r="349" spans="1:12" x14ac:dyDescent="0.3">
      <c r="A349" t="s">
        <v>372</v>
      </c>
      <c r="B349" t="s">
        <v>53</v>
      </c>
      <c r="C349" s="1">
        <v>44753</v>
      </c>
      <c r="D349" t="s">
        <v>62</v>
      </c>
      <c r="E349" t="s">
        <v>67</v>
      </c>
      <c r="F349">
        <v>130</v>
      </c>
      <c r="G349" t="s">
        <v>1</v>
      </c>
      <c r="H349" s="2">
        <v>7</v>
      </c>
      <c r="I349" s="3">
        <v>0.17158764742187849</v>
      </c>
      <c r="J349">
        <f>PRODUCT(Table3[[#This Row],[Price of One Product]],Table3[[#This Row],[No of Products in one Sale]])</f>
        <v>910</v>
      </c>
      <c r="K349" s="6">
        <f>Table3[[#This Row],[Actual Sale]]*(1-Table3[[#This Row],[Discount]])</f>
        <v>753.85524084609062</v>
      </c>
      <c r="L349" t="str">
        <f>TEXT(Table3[[#This Row],[Sale Date]],"dddd")</f>
        <v>Monday</v>
      </c>
    </row>
    <row r="350" spans="1:12" x14ac:dyDescent="0.3">
      <c r="A350" t="s">
        <v>373</v>
      </c>
      <c r="B350" t="s">
        <v>54</v>
      </c>
      <c r="C350" s="1">
        <v>44762</v>
      </c>
      <c r="D350" t="s">
        <v>63</v>
      </c>
      <c r="E350" t="s">
        <v>66</v>
      </c>
      <c r="F350">
        <v>60</v>
      </c>
      <c r="G350" t="s">
        <v>2</v>
      </c>
      <c r="H350" s="2">
        <v>11</v>
      </c>
      <c r="I350" s="3">
        <v>0.44731050880102885</v>
      </c>
      <c r="J350">
        <f>PRODUCT(Table3[[#This Row],[Price of One Product]],Table3[[#This Row],[No of Products in one Sale]])</f>
        <v>660</v>
      </c>
      <c r="K350" s="6">
        <f>Table3[[#This Row],[Actual Sale]]*(1-Table3[[#This Row],[Discount]])</f>
        <v>364.77506419132095</v>
      </c>
      <c r="L350" t="str">
        <f>TEXT(Table3[[#This Row],[Sale Date]],"dddd")</f>
        <v>Wednesday</v>
      </c>
    </row>
    <row r="351" spans="1:12" x14ac:dyDescent="0.3">
      <c r="A351" t="s">
        <v>374</v>
      </c>
      <c r="B351" t="s">
        <v>55</v>
      </c>
      <c r="C351" s="1">
        <v>44740</v>
      </c>
      <c r="D351" t="s">
        <v>59</v>
      </c>
      <c r="E351" t="s">
        <v>67</v>
      </c>
      <c r="F351">
        <v>72</v>
      </c>
      <c r="G351" t="s">
        <v>0</v>
      </c>
      <c r="H351" s="2">
        <v>8</v>
      </c>
      <c r="I351" s="3">
        <v>0.54246953050958213</v>
      </c>
      <c r="J351">
        <f>PRODUCT(Table3[[#This Row],[Price of One Product]],Table3[[#This Row],[No of Products in one Sale]])</f>
        <v>576</v>
      </c>
      <c r="K351" s="6">
        <f>Table3[[#This Row],[Actual Sale]]*(1-Table3[[#This Row],[Discount]])</f>
        <v>263.53755042648072</v>
      </c>
      <c r="L351" t="str">
        <f>TEXT(Table3[[#This Row],[Sale Date]],"dddd")</f>
        <v>Tuesday</v>
      </c>
    </row>
    <row r="352" spans="1:12" x14ac:dyDescent="0.3">
      <c r="A352" t="s">
        <v>375</v>
      </c>
      <c r="B352" t="s">
        <v>51</v>
      </c>
      <c r="C352" s="1">
        <v>44729</v>
      </c>
      <c r="D352" t="s">
        <v>60</v>
      </c>
      <c r="E352" t="s">
        <v>66</v>
      </c>
      <c r="F352">
        <v>65</v>
      </c>
      <c r="G352" t="s">
        <v>1</v>
      </c>
      <c r="H352" s="2">
        <v>11</v>
      </c>
      <c r="I352" s="3">
        <v>0.50484804947298401</v>
      </c>
      <c r="J352">
        <f>PRODUCT(Table3[[#This Row],[Price of One Product]],Table3[[#This Row],[No of Products in one Sale]])</f>
        <v>715</v>
      </c>
      <c r="K352" s="6">
        <f>Table3[[#This Row],[Actual Sale]]*(1-Table3[[#This Row],[Discount]])</f>
        <v>354.03364462681645</v>
      </c>
      <c r="L352" t="str">
        <f>TEXT(Table3[[#This Row],[Sale Date]],"dddd")</f>
        <v>Friday</v>
      </c>
    </row>
    <row r="353" spans="1:12" x14ac:dyDescent="0.3">
      <c r="A353" t="s">
        <v>376</v>
      </c>
      <c r="B353" t="s">
        <v>52</v>
      </c>
      <c r="C353" s="1">
        <v>44727</v>
      </c>
      <c r="D353" t="s">
        <v>61</v>
      </c>
      <c r="E353" t="s">
        <v>67</v>
      </c>
      <c r="F353">
        <v>250</v>
      </c>
      <c r="G353" t="s">
        <v>2</v>
      </c>
      <c r="H353" s="2">
        <v>4</v>
      </c>
      <c r="I353" s="3">
        <v>9.2316747421295475E-2</v>
      </c>
      <c r="J353">
        <f>PRODUCT(Table3[[#This Row],[Price of One Product]],Table3[[#This Row],[No of Products in one Sale]])</f>
        <v>1000</v>
      </c>
      <c r="K353" s="6">
        <f>Table3[[#This Row],[Actual Sale]]*(1-Table3[[#This Row],[Discount]])</f>
        <v>907.68325257870447</v>
      </c>
      <c r="L353" t="str">
        <f>TEXT(Table3[[#This Row],[Sale Date]],"dddd")</f>
        <v>Wednesday</v>
      </c>
    </row>
    <row r="354" spans="1:12" x14ac:dyDescent="0.3">
      <c r="A354" t="s">
        <v>377</v>
      </c>
      <c r="B354" t="s">
        <v>53</v>
      </c>
      <c r="C354" s="1">
        <v>44734</v>
      </c>
      <c r="D354" t="s">
        <v>62</v>
      </c>
      <c r="E354" t="s">
        <v>66</v>
      </c>
      <c r="F354">
        <v>130</v>
      </c>
      <c r="G354" t="s">
        <v>0</v>
      </c>
      <c r="H354" s="2">
        <v>7</v>
      </c>
      <c r="I354" s="3">
        <v>0.34907542272706216</v>
      </c>
      <c r="J354">
        <f>PRODUCT(Table3[[#This Row],[Price of One Product]],Table3[[#This Row],[No of Products in one Sale]])</f>
        <v>910</v>
      </c>
      <c r="K354" s="6">
        <f>Table3[[#This Row],[Actual Sale]]*(1-Table3[[#This Row],[Discount]])</f>
        <v>592.34136531837339</v>
      </c>
      <c r="L354" t="str">
        <f>TEXT(Table3[[#This Row],[Sale Date]],"dddd")</f>
        <v>Wednesday</v>
      </c>
    </row>
    <row r="355" spans="1:12" x14ac:dyDescent="0.3">
      <c r="A355" t="s">
        <v>378</v>
      </c>
      <c r="B355" t="s">
        <v>54</v>
      </c>
      <c r="C355" s="1">
        <v>44744</v>
      </c>
      <c r="D355" t="s">
        <v>59</v>
      </c>
      <c r="E355" t="s">
        <v>67</v>
      </c>
      <c r="F355">
        <v>72</v>
      </c>
      <c r="G355" t="s">
        <v>1</v>
      </c>
      <c r="H355" s="2">
        <v>4</v>
      </c>
      <c r="I355" s="3">
        <v>0.90031823580716619</v>
      </c>
      <c r="J355">
        <f>PRODUCT(Table3[[#This Row],[Price of One Product]],Table3[[#This Row],[No of Products in one Sale]])</f>
        <v>288</v>
      </c>
      <c r="K355" s="6">
        <f>Table3[[#This Row],[Actual Sale]]*(1-Table3[[#This Row],[Discount]])</f>
        <v>28.708348087536137</v>
      </c>
      <c r="L355" t="str">
        <f>TEXT(Table3[[#This Row],[Sale Date]],"dddd")</f>
        <v>Saturday</v>
      </c>
    </row>
    <row r="356" spans="1:12" x14ac:dyDescent="0.3">
      <c r="A356" t="s">
        <v>379</v>
      </c>
      <c r="B356" t="s">
        <v>51</v>
      </c>
      <c r="C356" s="1">
        <v>44737</v>
      </c>
      <c r="D356" t="s">
        <v>60</v>
      </c>
      <c r="E356" t="s">
        <v>66</v>
      </c>
      <c r="F356">
        <v>65</v>
      </c>
      <c r="G356" t="s">
        <v>2</v>
      </c>
      <c r="H356" s="2">
        <v>5</v>
      </c>
      <c r="I356" s="3">
        <v>0.18050692795462731</v>
      </c>
      <c r="J356">
        <f>PRODUCT(Table3[[#This Row],[Price of One Product]],Table3[[#This Row],[No of Products in one Sale]])</f>
        <v>325</v>
      </c>
      <c r="K356" s="6">
        <f>Table3[[#This Row],[Actual Sale]]*(1-Table3[[#This Row],[Discount]])</f>
        <v>266.3352484147461</v>
      </c>
      <c r="L356" t="str">
        <f>TEXT(Table3[[#This Row],[Sale Date]],"dddd")</f>
        <v>Saturday</v>
      </c>
    </row>
    <row r="357" spans="1:12" x14ac:dyDescent="0.3">
      <c r="A357" t="s">
        <v>380</v>
      </c>
      <c r="B357" t="s">
        <v>52</v>
      </c>
      <c r="C357" s="1">
        <v>44752</v>
      </c>
      <c r="D357" t="s">
        <v>61</v>
      </c>
      <c r="E357" t="s">
        <v>67</v>
      </c>
      <c r="F357">
        <v>250</v>
      </c>
      <c r="G357" t="s">
        <v>0</v>
      </c>
      <c r="H357" s="2">
        <v>1</v>
      </c>
      <c r="I357" s="3">
        <v>2.5445092820001292E-2</v>
      </c>
      <c r="J357">
        <f>PRODUCT(Table3[[#This Row],[Price of One Product]],Table3[[#This Row],[No of Products in one Sale]])</f>
        <v>250</v>
      </c>
      <c r="K357" s="6">
        <f>Table3[[#This Row],[Actual Sale]]*(1-Table3[[#This Row],[Discount]])</f>
        <v>243.63872679499968</v>
      </c>
      <c r="L357" t="str">
        <f>TEXT(Table3[[#This Row],[Sale Date]],"dddd")</f>
        <v>Sunday</v>
      </c>
    </row>
    <row r="358" spans="1:12" x14ac:dyDescent="0.3">
      <c r="A358" t="s">
        <v>381</v>
      </c>
      <c r="B358" t="s">
        <v>53</v>
      </c>
      <c r="C358" s="1">
        <v>44736</v>
      </c>
      <c r="D358" t="s">
        <v>62</v>
      </c>
      <c r="E358" t="s">
        <v>66</v>
      </c>
      <c r="F358">
        <v>130</v>
      </c>
      <c r="G358" t="s">
        <v>1</v>
      </c>
      <c r="H358" s="2">
        <v>2</v>
      </c>
      <c r="I358" s="3">
        <v>0.79643741142705549</v>
      </c>
      <c r="J358">
        <f>PRODUCT(Table3[[#This Row],[Price of One Product]],Table3[[#This Row],[No of Products in one Sale]])</f>
        <v>260</v>
      </c>
      <c r="K358" s="6">
        <f>Table3[[#This Row],[Actual Sale]]*(1-Table3[[#This Row],[Discount]])</f>
        <v>52.926273028965575</v>
      </c>
      <c r="L358" t="str">
        <f>TEXT(Table3[[#This Row],[Sale Date]],"dddd")</f>
        <v>Friday</v>
      </c>
    </row>
    <row r="359" spans="1:12" x14ac:dyDescent="0.3">
      <c r="A359" t="s">
        <v>382</v>
      </c>
      <c r="B359" t="s">
        <v>54</v>
      </c>
      <c r="C359" s="1">
        <v>44752</v>
      </c>
      <c r="D359" t="s">
        <v>63</v>
      </c>
      <c r="E359" t="s">
        <v>67</v>
      </c>
      <c r="F359">
        <v>60</v>
      </c>
      <c r="G359" t="s">
        <v>2</v>
      </c>
      <c r="H359" s="2">
        <v>14</v>
      </c>
      <c r="I359" s="3">
        <v>0.16077213359827813</v>
      </c>
      <c r="J359">
        <f>PRODUCT(Table3[[#This Row],[Price of One Product]],Table3[[#This Row],[No of Products in one Sale]])</f>
        <v>840</v>
      </c>
      <c r="K359" s="6">
        <f>Table3[[#This Row],[Actual Sale]]*(1-Table3[[#This Row],[Discount]])</f>
        <v>704.95140777744632</v>
      </c>
      <c r="L359" t="str">
        <f>TEXT(Table3[[#This Row],[Sale Date]],"dddd")</f>
        <v>Sunday</v>
      </c>
    </row>
    <row r="360" spans="1:12" x14ac:dyDescent="0.3">
      <c r="A360" t="s">
        <v>383</v>
      </c>
      <c r="B360" t="s">
        <v>55</v>
      </c>
      <c r="C360" s="1">
        <v>44759</v>
      </c>
      <c r="D360" t="s">
        <v>64</v>
      </c>
      <c r="E360" t="s">
        <v>66</v>
      </c>
      <c r="F360">
        <v>95</v>
      </c>
      <c r="G360" t="s">
        <v>0</v>
      </c>
      <c r="H360" s="2">
        <v>9</v>
      </c>
      <c r="I360" s="3">
        <v>0.24693836978869843</v>
      </c>
      <c r="J360">
        <f>PRODUCT(Table3[[#This Row],[Price of One Product]],Table3[[#This Row],[No of Products in one Sale]])</f>
        <v>855</v>
      </c>
      <c r="K360" s="6">
        <f>Table3[[#This Row],[Actual Sale]]*(1-Table3[[#This Row],[Discount]])</f>
        <v>643.8676938306628</v>
      </c>
      <c r="L360" t="str">
        <f>TEXT(Table3[[#This Row],[Sale Date]],"dddd")</f>
        <v>Sunday</v>
      </c>
    </row>
    <row r="361" spans="1:12" x14ac:dyDescent="0.3">
      <c r="A361" t="s">
        <v>384</v>
      </c>
      <c r="B361" t="s">
        <v>56</v>
      </c>
      <c r="C361" s="1">
        <v>44763</v>
      </c>
      <c r="D361" t="s">
        <v>59</v>
      </c>
      <c r="E361" t="s">
        <v>67</v>
      </c>
      <c r="F361">
        <v>72</v>
      </c>
      <c r="G361" t="s">
        <v>1</v>
      </c>
      <c r="H361" s="2">
        <v>8</v>
      </c>
      <c r="I361" s="3">
        <v>0.22148207946738752</v>
      </c>
      <c r="J361">
        <f>PRODUCT(Table3[[#This Row],[Price of One Product]],Table3[[#This Row],[No of Products in one Sale]])</f>
        <v>576</v>
      </c>
      <c r="K361" s="6">
        <f>Table3[[#This Row],[Actual Sale]]*(1-Table3[[#This Row],[Discount]])</f>
        <v>448.42632222678481</v>
      </c>
      <c r="L361" t="str">
        <f>TEXT(Table3[[#This Row],[Sale Date]],"dddd")</f>
        <v>Thursday</v>
      </c>
    </row>
    <row r="362" spans="1:12" x14ac:dyDescent="0.3">
      <c r="A362" t="s">
        <v>385</v>
      </c>
      <c r="B362" t="s">
        <v>51</v>
      </c>
      <c r="C362" s="1">
        <v>44763</v>
      </c>
      <c r="D362" t="s">
        <v>60</v>
      </c>
      <c r="E362" t="s">
        <v>66</v>
      </c>
      <c r="F362">
        <v>65</v>
      </c>
      <c r="G362" t="s">
        <v>2</v>
      </c>
      <c r="H362" s="2">
        <v>11</v>
      </c>
      <c r="I362" s="3">
        <v>0.71458846230959472</v>
      </c>
      <c r="J362">
        <f>PRODUCT(Table3[[#This Row],[Price of One Product]],Table3[[#This Row],[No of Products in one Sale]])</f>
        <v>715</v>
      </c>
      <c r="K362" s="6">
        <f>Table3[[#This Row],[Actual Sale]]*(1-Table3[[#This Row],[Discount]])</f>
        <v>204.06924944863977</v>
      </c>
      <c r="L362" t="str">
        <f>TEXT(Table3[[#This Row],[Sale Date]],"dddd")</f>
        <v>Thursday</v>
      </c>
    </row>
    <row r="363" spans="1:12" x14ac:dyDescent="0.3">
      <c r="A363" t="s">
        <v>386</v>
      </c>
      <c r="B363" t="s">
        <v>52</v>
      </c>
      <c r="C363" s="1">
        <v>44750</v>
      </c>
      <c r="D363" t="s">
        <v>61</v>
      </c>
      <c r="E363" t="s">
        <v>67</v>
      </c>
      <c r="F363">
        <v>250</v>
      </c>
      <c r="G363" t="s">
        <v>0</v>
      </c>
      <c r="H363" s="2">
        <v>4</v>
      </c>
      <c r="I363" s="3">
        <v>0.11286694488931481</v>
      </c>
      <c r="J363">
        <f>PRODUCT(Table3[[#This Row],[Price of One Product]],Table3[[#This Row],[No of Products in one Sale]])</f>
        <v>1000</v>
      </c>
      <c r="K363" s="6">
        <f>Table3[[#This Row],[Actual Sale]]*(1-Table3[[#This Row],[Discount]])</f>
        <v>887.13305511068518</v>
      </c>
      <c r="L363" t="str">
        <f>TEXT(Table3[[#This Row],[Sale Date]],"dddd")</f>
        <v>Friday</v>
      </c>
    </row>
    <row r="364" spans="1:12" x14ac:dyDescent="0.3">
      <c r="A364" t="s">
        <v>387</v>
      </c>
      <c r="B364" t="s">
        <v>53</v>
      </c>
      <c r="C364" s="1">
        <v>44751</v>
      </c>
      <c r="D364" t="s">
        <v>62</v>
      </c>
      <c r="E364" t="s">
        <v>66</v>
      </c>
      <c r="F364">
        <v>130</v>
      </c>
      <c r="G364" t="s">
        <v>1</v>
      </c>
      <c r="H364" s="2">
        <v>6</v>
      </c>
      <c r="I364" s="3">
        <v>6.5283590828819849E-2</v>
      </c>
      <c r="J364">
        <f>PRODUCT(Table3[[#This Row],[Price of One Product]],Table3[[#This Row],[No of Products in one Sale]])</f>
        <v>780</v>
      </c>
      <c r="K364" s="6">
        <f>Table3[[#This Row],[Actual Sale]]*(1-Table3[[#This Row],[Discount]])</f>
        <v>729.07879915352055</v>
      </c>
      <c r="L364" t="str">
        <f>TEXT(Table3[[#This Row],[Sale Date]],"dddd")</f>
        <v>Saturday</v>
      </c>
    </row>
    <row r="365" spans="1:12" x14ac:dyDescent="0.3">
      <c r="A365" t="s">
        <v>388</v>
      </c>
      <c r="B365" t="s">
        <v>54</v>
      </c>
      <c r="C365" s="1">
        <v>44736</v>
      </c>
      <c r="D365" t="s">
        <v>59</v>
      </c>
      <c r="E365" t="s">
        <v>67</v>
      </c>
      <c r="F365">
        <v>72</v>
      </c>
      <c r="G365" t="s">
        <v>2</v>
      </c>
      <c r="H365" s="2">
        <v>11</v>
      </c>
      <c r="I365" s="3">
        <v>0.46681751998353072</v>
      </c>
      <c r="J365">
        <f>PRODUCT(Table3[[#This Row],[Price of One Product]],Table3[[#This Row],[No of Products in one Sale]])</f>
        <v>792</v>
      </c>
      <c r="K365" s="6">
        <f>Table3[[#This Row],[Actual Sale]]*(1-Table3[[#This Row],[Discount]])</f>
        <v>422.28052417304366</v>
      </c>
      <c r="L365" t="str">
        <f>TEXT(Table3[[#This Row],[Sale Date]],"dddd")</f>
        <v>Friday</v>
      </c>
    </row>
    <row r="366" spans="1:12" x14ac:dyDescent="0.3">
      <c r="A366" t="s">
        <v>389</v>
      </c>
      <c r="B366" t="s">
        <v>51</v>
      </c>
      <c r="C366" s="1">
        <v>44737</v>
      </c>
      <c r="D366" t="s">
        <v>60</v>
      </c>
      <c r="E366" t="s">
        <v>66</v>
      </c>
      <c r="F366">
        <v>65</v>
      </c>
      <c r="G366" t="s">
        <v>0</v>
      </c>
      <c r="H366" s="2">
        <v>9</v>
      </c>
      <c r="I366" s="3">
        <v>0.92202770154223668</v>
      </c>
      <c r="J366">
        <f>PRODUCT(Table3[[#This Row],[Price of One Product]],Table3[[#This Row],[No of Products in one Sale]])</f>
        <v>585</v>
      </c>
      <c r="K366" s="6">
        <f>Table3[[#This Row],[Actual Sale]]*(1-Table3[[#This Row],[Discount]])</f>
        <v>45.613794597791546</v>
      </c>
      <c r="L366" t="str">
        <f>TEXT(Table3[[#This Row],[Sale Date]],"dddd")</f>
        <v>Saturday</v>
      </c>
    </row>
    <row r="367" spans="1:12" x14ac:dyDescent="0.3">
      <c r="A367" t="s">
        <v>390</v>
      </c>
      <c r="B367" t="s">
        <v>52</v>
      </c>
      <c r="C367" s="1">
        <v>44744</v>
      </c>
      <c r="D367" t="s">
        <v>61</v>
      </c>
      <c r="E367" t="s">
        <v>67</v>
      </c>
      <c r="F367">
        <v>250</v>
      </c>
      <c r="G367" t="s">
        <v>1</v>
      </c>
      <c r="H367" s="2">
        <v>2</v>
      </c>
      <c r="I367" s="3">
        <v>0.18840485753727232</v>
      </c>
      <c r="J367">
        <f>PRODUCT(Table3[[#This Row],[Price of One Product]],Table3[[#This Row],[No of Products in one Sale]])</f>
        <v>500</v>
      </c>
      <c r="K367" s="6">
        <f>Table3[[#This Row],[Actual Sale]]*(1-Table3[[#This Row],[Discount]])</f>
        <v>405.79757123136386</v>
      </c>
      <c r="L367" t="str">
        <f>TEXT(Table3[[#This Row],[Sale Date]],"dddd")</f>
        <v>Saturday</v>
      </c>
    </row>
    <row r="368" spans="1:12" x14ac:dyDescent="0.3">
      <c r="A368" t="s">
        <v>391</v>
      </c>
      <c r="B368" t="s">
        <v>53</v>
      </c>
      <c r="C368" s="1">
        <v>44735</v>
      </c>
      <c r="D368" t="s">
        <v>62</v>
      </c>
      <c r="E368" t="s">
        <v>67</v>
      </c>
      <c r="F368">
        <v>130</v>
      </c>
      <c r="G368" t="s">
        <v>2</v>
      </c>
      <c r="H368" s="2">
        <v>2</v>
      </c>
      <c r="I368" s="3">
        <v>0.27847072137209206</v>
      </c>
      <c r="J368">
        <f>PRODUCT(Table3[[#This Row],[Price of One Product]],Table3[[#This Row],[No of Products in one Sale]])</f>
        <v>260</v>
      </c>
      <c r="K368" s="6">
        <f>Table3[[#This Row],[Actual Sale]]*(1-Table3[[#This Row],[Discount]])</f>
        <v>187.59761244325605</v>
      </c>
      <c r="L368" t="str">
        <f>TEXT(Table3[[#This Row],[Sale Date]],"dddd")</f>
        <v>Thursday</v>
      </c>
    </row>
    <row r="369" spans="1:12" x14ac:dyDescent="0.3">
      <c r="A369" t="s">
        <v>392</v>
      </c>
      <c r="B369" t="s">
        <v>51</v>
      </c>
      <c r="C369" s="1">
        <v>44751</v>
      </c>
      <c r="D369" t="s">
        <v>59</v>
      </c>
      <c r="E369" t="s">
        <v>67</v>
      </c>
      <c r="F369">
        <v>72</v>
      </c>
      <c r="G369" t="s">
        <v>0</v>
      </c>
      <c r="H369" s="2">
        <v>10</v>
      </c>
      <c r="I369" s="3">
        <v>0.78884251376405168</v>
      </c>
      <c r="J369">
        <f>PRODUCT(Table3[[#This Row],[Price of One Product]],Table3[[#This Row],[No of Products in one Sale]])</f>
        <v>720</v>
      </c>
      <c r="K369" s="6">
        <f>Table3[[#This Row],[Actual Sale]]*(1-Table3[[#This Row],[Discount]])</f>
        <v>152.0333900898828</v>
      </c>
      <c r="L369" t="str">
        <f>TEXT(Table3[[#This Row],[Sale Date]],"dddd")</f>
        <v>Saturday</v>
      </c>
    </row>
    <row r="370" spans="1:12" x14ac:dyDescent="0.3">
      <c r="A370" t="s">
        <v>393</v>
      </c>
      <c r="B370" t="s">
        <v>52</v>
      </c>
      <c r="C370" s="1">
        <v>44726</v>
      </c>
      <c r="D370" t="s">
        <v>60</v>
      </c>
      <c r="E370" t="s">
        <v>67</v>
      </c>
      <c r="F370">
        <v>65</v>
      </c>
      <c r="G370" t="s">
        <v>0</v>
      </c>
      <c r="H370" s="2">
        <v>5</v>
      </c>
      <c r="I370" s="3">
        <v>0.18299168548896383</v>
      </c>
      <c r="J370">
        <f>PRODUCT(Table3[[#This Row],[Price of One Product]],Table3[[#This Row],[No of Products in one Sale]])</f>
        <v>325</v>
      </c>
      <c r="K370" s="6">
        <f>Table3[[#This Row],[Actual Sale]]*(1-Table3[[#This Row],[Discount]])</f>
        <v>265.52770221608677</v>
      </c>
      <c r="L370" t="str">
        <f>TEXT(Table3[[#This Row],[Sale Date]],"dddd")</f>
        <v>Tuesday</v>
      </c>
    </row>
    <row r="371" spans="1:12" x14ac:dyDescent="0.3">
      <c r="A371" t="s">
        <v>394</v>
      </c>
      <c r="B371" t="s">
        <v>53</v>
      </c>
      <c r="C371" s="1">
        <v>44749</v>
      </c>
      <c r="D371" t="s">
        <v>61</v>
      </c>
      <c r="E371" t="s">
        <v>67</v>
      </c>
      <c r="F371">
        <v>250</v>
      </c>
      <c r="G371" t="s">
        <v>1</v>
      </c>
      <c r="H371" s="2">
        <v>3</v>
      </c>
      <c r="I371" s="3">
        <v>0.20591715888096995</v>
      </c>
      <c r="J371">
        <f>PRODUCT(Table3[[#This Row],[Price of One Product]],Table3[[#This Row],[No of Products in one Sale]])</f>
        <v>750</v>
      </c>
      <c r="K371" s="6">
        <f>Table3[[#This Row],[Actual Sale]]*(1-Table3[[#This Row],[Discount]])</f>
        <v>595.56213083927253</v>
      </c>
      <c r="L371" t="str">
        <f>TEXT(Table3[[#This Row],[Sale Date]],"dddd")</f>
        <v>Thursday</v>
      </c>
    </row>
    <row r="372" spans="1:12" x14ac:dyDescent="0.3">
      <c r="A372" t="s">
        <v>395</v>
      </c>
      <c r="B372" t="s">
        <v>54</v>
      </c>
      <c r="C372" s="1">
        <v>44734</v>
      </c>
      <c r="D372" t="s">
        <v>62</v>
      </c>
      <c r="E372" t="s">
        <v>66</v>
      </c>
      <c r="F372">
        <v>130</v>
      </c>
      <c r="G372" t="s">
        <v>2</v>
      </c>
      <c r="H372" s="2">
        <v>2</v>
      </c>
      <c r="I372" s="3">
        <v>2.128339836887938E-2</v>
      </c>
      <c r="J372">
        <f>PRODUCT(Table3[[#This Row],[Price of One Product]],Table3[[#This Row],[No of Products in one Sale]])</f>
        <v>260</v>
      </c>
      <c r="K372" s="6">
        <f>Table3[[#This Row],[Actual Sale]]*(1-Table3[[#This Row],[Discount]])</f>
        <v>254.46631642409136</v>
      </c>
      <c r="L372" t="str">
        <f>TEXT(Table3[[#This Row],[Sale Date]],"dddd")</f>
        <v>Wednesday</v>
      </c>
    </row>
    <row r="373" spans="1:12" x14ac:dyDescent="0.3">
      <c r="A373" t="s">
        <v>396</v>
      </c>
      <c r="B373" t="s">
        <v>51</v>
      </c>
      <c r="C373" s="1">
        <v>44726</v>
      </c>
      <c r="D373" t="s">
        <v>59</v>
      </c>
      <c r="E373" t="s">
        <v>67</v>
      </c>
      <c r="F373">
        <v>72</v>
      </c>
      <c r="G373" t="s">
        <v>0</v>
      </c>
      <c r="H373" s="2">
        <v>4</v>
      </c>
      <c r="I373" s="3">
        <v>2.2806889019524657E-2</v>
      </c>
      <c r="J373">
        <f>PRODUCT(Table3[[#This Row],[Price of One Product]],Table3[[#This Row],[No of Products in one Sale]])</f>
        <v>288</v>
      </c>
      <c r="K373" s="6">
        <f>Table3[[#This Row],[Actual Sale]]*(1-Table3[[#This Row],[Discount]])</f>
        <v>281.4316159623769</v>
      </c>
      <c r="L373" t="str">
        <f>TEXT(Table3[[#This Row],[Sale Date]],"dddd")</f>
        <v>Tuesday</v>
      </c>
    </row>
    <row r="374" spans="1:12" x14ac:dyDescent="0.3">
      <c r="A374" t="s">
        <v>397</v>
      </c>
      <c r="B374" t="s">
        <v>52</v>
      </c>
      <c r="C374" s="1">
        <v>44743</v>
      </c>
      <c r="D374" t="s">
        <v>60</v>
      </c>
      <c r="E374" t="s">
        <v>66</v>
      </c>
      <c r="F374">
        <v>65</v>
      </c>
      <c r="G374" t="s">
        <v>1</v>
      </c>
      <c r="H374" s="2">
        <v>6</v>
      </c>
      <c r="I374" s="3">
        <v>0.66448214030499053</v>
      </c>
      <c r="J374">
        <f>PRODUCT(Table3[[#This Row],[Price of One Product]],Table3[[#This Row],[No of Products in one Sale]])</f>
        <v>390</v>
      </c>
      <c r="K374" s="6">
        <f>Table3[[#This Row],[Actual Sale]]*(1-Table3[[#This Row],[Discount]])</f>
        <v>130.85196528105368</v>
      </c>
      <c r="L374" t="str">
        <f>TEXT(Table3[[#This Row],[Sale Date]],"dddd")</f>
        <v>Friday</v>
      </c>
    </row>
    <row r="375" spans="1:12" x14ac:dyDescent="0.3">
      <c r="A375" t="s">
        <v>398</v>
      </c>
      <c r="B375" t="s">
        <v>53</v>
      </c>
      <c r="C375" s="1">
        <v>44742</v>
      </c>
      <c r="D375" t="s">
        <v>61</v>
      </c>
      <c r="E375" t="s">
        <v>67</v>
      </c>
      <c r="F375">
        <v>250</v>
      </c>
      <c r="G375" t="s">
        <v>2</v>
      </c>
      <c r="H375" s="2">
        <v>3</v>
      </c>
      <c r="I375" s="3">
        <v>0.29151955249280481</v>
      </c>
      <c r="J375">
        <f>PRODUCT(Table3[[#This Row],[Price of One Product]],Table3[[#This Row],[No of Products in one Sale]])</f>
        <v>750</v>
      </c>
      <c r="K375" s="6">
        <f>Table3[[#This Row],[Actual Sale]]*(1-Table3[[#This Row],[Discount]])</f>
        <v>531.36033563039643</v>
      </c>
      <c r="L375" t="str">
        <f>TEXT(Table3[[#This Row],[Sale Date]],"dddd")</f>
        <v>Thursday</v>
      </c>
    </row>
    <row r="376" spans="1:12" x14ac:dyDescent="0.3">
      <c r="A376" t="s">
        <v>399</v>
      </c>
      <c r="B376" t="s">
        <v>54</v>
      </c>
      <c r="C376" s="1">
        <v>44747</v>
      </c>
      <c r="D376" t="s">
        <v>62</v>
      </c>
      <c r="E376" t="s">
        <v>66</v>
      </c>
      <c r="F376">
        <v>130</v>
      </c>
      <c r="G376" t="s">
        <v>0</v>
      </c>
      <c r="H376" s="2">
        <v>5</v>
      </c>
      <c r="I376" s="3">
        <v>0.55684098110336311</v>
      </c>
      <c r="J376">
        <f>PRODUCT(Table3[[#This Row],[Price of One Product]],Table3[[#This Row],[No of Products in one Sale]])</f>
        <v>650</v>
      </c>
      <c r="K376" s="6">
        <f>Table3[[#This Row],[Actual Sale]]*(1-Table3[[#This Row],[Discount]])</f>
        <v>288.05336228281396</v>
      </c>
      <c r="L376" t="str">
        <f>TEXT(Table3[[#This Row],[Sale Date]],"dddd")</f>
        <v>Tuesday</v>
      </c>
    </row>
    <row r="377" spans="1:12" x14ac:dyDescent="0.3">
      <c r="A377" t="s">
        <v>400</v>
      </c>
      <c r="B377" t="s">
        <v>55</v>
      </c>
      <c r="C377" s="1">
        <v>44764</v>
      </c>
      <c r="D377" t="s">
        <v>63</v>
      </c>
      <c r="E377" t="s">
        <v>67</v>
      </c>
      <c r="F377">
        <v>60</v>
      </c>
      <c r="G377" t="s">
        <v>1</v>
      </c>
      <c r="H377" s="2">
        <v>14</v>
      </c>
      <c r="I377" s="3">
        <v>0.57240542144015649</v>
      </c>
      <c r="J377">
        <f>PRODUCT(Table3[[#This Row],[Price of One Product]],Table3[[#This Row],[No of Products in one Sale]])</f>
        <v>840</v>
      </c>
      <c r="K377" s="6">
        <f>Table3[[#This Row],[Actual Sale]]*(1-Table3[[#This Row],[Discount]])</f>
        <v>359.17944599026856</v>
      </c>
      <c r="L377" t="str">
        <f>TEXT(Table3[[#This Row],[Sale Date]],"dddd")</f>
        <v>Friday</v>
      </c>
    </row>
    <row r="378" spans="1:12" x14ac:dyDescent="0.3">
      <c r="A378" t="s">
        <v>401</v>
      </c>
      <c r="B378" t="s">
        <v>51</v>
      </c>
      <c r="C378" s="1">
        <v>44735</v>
      </c>
      <c r="D378" t="s">
        <v>59</v>
      </c>
      <c r="E378" t="s">
        <v>66</v>
      </c>
      <c r="F378">
        <v>72</v>
      </c>
      <c r="G378" t="s">
        <v>2</v>
      </c>
      <c r="H378" s="2">
        <v>3</v>
      </c>
      <c r="I378" s="3">
        <v>8.6221643115211744E-2</v>
      </c>
      <c r="J378">
        <f>PRODUCT(Table3[[#This Row],[Price of One Product]],Table3[[#This Row],[No of Products in one Sale]])</f>
        <v>216</v>
      </c>
      <c r="K378" s="6">
        <f>Table3[[#This Row],[Actual Sale]]*(1-Table3[[#This Row],[Discount]])</f>
        <v>197.37612508711427</v>
      </c>
      <c r="L378" t="str">
        <f>TEXT(Table3[[#This Row],[Sale Date]],"dddd")</f>
        <v>Thursday</v>
      </c>
    </row>
    <row r="379" spans="1:12" x14ac:dyDescent="0.3">
      <c r="A379" t="s">
        <v>402</v>
      </c>
      <c r="B379" t="s">
        <v>52</v>
      </c>
      <c r="C379" s="1">
        <v>44737</v>
      </c>
      <c r="D379" t="s">
        <v>60</v>
      </c>
      <c r="E379" t="s">
        <v>67</v>
      </c>
      <c r="F379">
        <v>65</v>
      </c>
      <c r="G379" t="s">
        <v>0</v>
      </c>
      <c r="H379" s="2">
        <v>10</v>
      </c>
      <c r="I379" s="3">
        <v>0.95609718609661631</v>
      </c>
      <c r="J379">
        <f>PRODUCT(Table3[[#This Row],[Price of One Product]],Table3[[#This Row],[No of Products in one Sale]])</f>
        <v>650</v>
      </c>
      <c r="K379" s="6">
        <f>Table3[[#This Row],[Actual Sale]]*(1-Table3[[#This Row],[Discount]])</f>
        <v>28.536829037199396</v>
      </c>
      <c r="L379" t="str">
        <f>TEXT(Table3[[#This Row],[Sale Date]],"dddd")</f>
        <v>Saturday</v>
      </c>
    </row>
    <row r="380" spans="1:12" x14ac:dyDescent="0.3">
      <c r="A380" t="s">
        <v>403</v>
      </c>
      <c r="B380" t="s">
        <v>53</v>
      </c>
      <c r="C380" s="1">
        <v>44749</v>
      </c>
      <c r="D380" t="s">
        <v>61</v>
      </c>
      <c r="E380" t="s">
        <v>66</v>
      </c>
      <c r="F380">
        <v>250</v>
      </c>
      <c r="G380" t="s">
        <v>1</v>
      </c>
      <c r="H380" s="2">
        <v>2</v>
      </c>
      <c r="I380" s="3">
        <v>0.2455223768222089</v>
      </c>
      <c r="J380">
        <f>PRODUCT(Table3[[#This Row],[Price of One Product]],Table3[[#This Row],[No of Products in one Sale]])</f>
        <v>500</v>
      </c>
      <c r="K380" s="6">
        <f>Table3[[#This Row],[Actual Sale]]*(1-Table3[[#This Row],[Discount]])</f>
        <v>377.23881158889554</v>
      </c>
      <c r="L380" t="str">
        <f>TEXT(Table3[[#This Row],[Sale Date]],"dddd")</f>
        <v>Thursday</v>
      </c>
    </row>
    <row r="381" spans="1:12" x14ac:dyDescent="0.3">
      <c r="A381" t="s">
        <v>404</v>
      </c>
      <c r="B381" t="s">
        <v>54</v>
      </c>
      <c r="C381" s="1">
        <v>44729</v>
      </c>
      <c r="D381" t="s">
        <v>62</v>
      </c>
      <c r="E381" t="s">
        <v>67</v>
      </c>
      <c r="F381">
        <v>130</v>
      </c>
      <c r="G381" t="s">
        <v>2</v>
      </c>
      <c r="H381" s="2">
        <v>7</v>
      </c>
      <c r="I381" s="3">
        <v>0.56637632681080741</v>
      </c>
      <c r="J381">
        <f>PRODUCT(Table3[[#This Row],[Price of One Product]],Table3[[#This Row],[No of Products in one Sale]])</f>
        <v>910</v>
      </c>
      <c r="K381" s="6">
        <f>Table3[[#This Row],[Actual Sale]]*(1-Table3[[#This Row],[Discount]])</f>
        <v>394.59754260216528</v>
      </c>
      <c r="L381" t="str">
        <f>TEXT(Table3[[#This Row],[Sale Date]],"dddd")</f>
        <v>Friday</v>
      </c>
    </row>
    <row r="382" spans="1:12" x14ac:dyDescent="0.3">
      <c r="A382" t="s">
        <v>405</v>
      </c>
      <c r="B382" t="s">
        <v>51</v>
      </c>
      <c r="C382" s="1">
        <v>44738</v>
      </c>
      <c r="D382" t="s">
        <v>59</v>
      </c>
      <c r="E382" t="s">
        <v>66</v>
      </c>
      <c r="F382">
        <v>72</v>
      </c>
      <c r="G382" t="s">
        <v>0</v>
      </c>
      <c r="H382" s="2">
        <v>11</v>
      </c>
      <c r="I382" s="3">
        <v>4.5179835219914199E-2</v>
      </c>
      <c r="J382">
        <f>PRODUCT(Table3[[#This Row],[Price of One Product]],Table3[[#This Row],[No of Products in one Sale]])</f>
        <v>792</v>
      </c>
      <c r="K382" s="6">
        <f>Table3[[#This Row],[Actual Sale]]*(1-Table3[[#This Row],[Discount]])</f>
        <v>756.21757050582801</v>
      </c>
      <c r="L382" t="str">
        <f>TEXT(Table3[[#This Row],[Sale Date]],"dddd")</f>
        <v>Sunday</v>
      </c>
    </row>
    <row r="383" spans="1:12" x14ac:dyDescent="0.3">
      <c r="A383" t="s">
        <v>406</v>
      </c>
      <c r="B383" t="s">
        <v>52</v>
      </c>
      <c r="C383" s="1">
        <v>44740</v>
      </c>
      <c r="D383" t="s">
        <v>60</v>
      </c>
      <c r="E383" t="s">
        <v>67</v>
      </c>
      <c r="F383">
        <v>65</v>
      </c>
      <c r="G383" t="s">
        <v>1</v>
      </c>
      <c r="H383" s="2">
        <v>13</v>
      </c>
      <c r="I383" s="3">
        <v>0.97345529924354934</v>
      </c>
      <c r="J383">
        <f>PRODUCT(Table3[[#This Row],[Price of One Product]],Table3[[#This Row],[No of Products in one Sale]])</f>
        <v>845</v>
      </c>
      <c r="K383" s="6">
        <f>Table3[[#This Row],[Actual Sale]]*(1-Table3[[#This Row],[Discount]])</f>
        <v>22.430272139200806</v>
      </c>
      <c r="L383" t="str">
        <f>TEXT(Table3[[#This Row],[Sale Date]],"dddd")</f>
        <v>Tuesday</v>
      </c>
    </row>
    <row r="384" spans="1:12" x14ac:dyDescent="0.3">
      <c r="A384" t="s">
        <v>407</v>
      </c>
      <c r="B384" t="s">
        <v>53</v>
      </c>
      <c r="C384" s="1">
        <v>44755</v>
      </c>
      <c r="D384" t="s">
        <v>61</v>
      </c>
      <c r="E384" t="s">
        <v>66</v>
      </c>
      <c r="F384">
        <v>250</v>
      </c>
      <c r="G384" t="s">
        <v>2</v>
      </c>
      <c r="H384" s="2">
        <v>3</v>
      </c>
      <c r="I384" s="3">
        <v>0.56733394419124217</v>
      </c>
      <c r="J384">
        <f>PRODUCT(Table3[[#This Row],[Price of One Product]],Table3[[#This Row],[No of Products in one Sale]])</f>
        <v>750</v>
      </c>
      <c r="K384" s="6">
        <f>Table3[[#This Row],[Actual Sale]]*(1-Table3[[#This Row],[Discount]])</f>
        <v>324.49954185656838</v>
      </c>
      <c r="L384" t="str">
        <f>TEXT(Table3[[#This Row],[Sale Date]],"dddd")</f>
        <v>Wednesday</v>
      </c>
    </row>
    <row r="385" spans="1:12" x14ac:dyDescent="0.3">
      <c r="A385" t="s">
        <v>408</v>
      </c>
      <c r="B385" t="s">
        <v>54</v>
      </c>
      <c r="C385" s="1">
        <v>44755</v>
      </c>
      <c r="D385" t="s">
        <v>62</v>
      </c>
      <c r="E385" t="s">
        <v>67</v>
      </c>
      <c r="F385">
        <v>130</v>
      </c>
      <c r="G385" t="s">
        <v>0</v>
      </c>
      <c r="H385" s="2">
        <v>6</v>
      </c>
      <c r="I385" s="3">
        <v>0.37928431149731212</v>
      </c>
      <c r="J385">
        <f>PRODUCT(Table3[[#This Row],[Price of One Product]],Table3[[#This Row],[No of Products in one Sale]])</f>
        <v>780</v>
      </c>
      <c r="K385" s="6">
        <f>Table3[[#This Row],[Actual Sale]]*(1-Table3[[#This Row],[Discount]])</f>
        <v>484.15823703209657</v>
      </c>
      <c r="L385" t="str">
        <f>TEXT(Table3[[#This Row],[Sale Date]],"dddd")</f>
        <v>Wednesday</v>
      </c>
    </row>
    <row r="386" spans="1:12" x14ac:dyDescent="0.3">
      <c r="A386" t="s">
        <v>409</v>
      </c>
      <c r="B386" t="s">
        <v>55</v>
      </c>
      <c r="C386" s="1">
        <v>44764</v>
      </c>
      <c r="D386" t="s">
        <v>63</v>
      </c>
      <c r="E386" t="s">
        <v>66</v>
      </c>
      <c r="F386">
        <v>60</v>
      </c>
      <c r="G386" t="s">
        <v>1</v>
      </c>
      <c r="H386" s="2">
        <v>15</v>
      </c>
      <c r="I386" s="3">
        <v>0.62865911330533553</v>
      </c>
      <c r="J386">
        <f>PRODUCT(Table3[[#This Row],[Price of One Product]],Table3[[#This Row],[No of Products in one Sale]])</f>
        <v>900</v>
      </c>
      <c r="K386" s="6">
        <f>Table3[[#This Row],[Actual Sale]]*(1-Table3[[#This Row],[Discount]])</f>
        <v>334.20679802519805</v>
      </c>
      <c r="L386" t="str">
        <f>TEXT(Table3[[#This Row],[Sale Date]],"dddd")</f>
        <v>Friday</v>
      </c>
    </row>
    <row r="387" spans="1:12" x14ac:dyDescent="0.3">
      <c r="A387" t="s">
        <v>410</v>
      </c>
      <c r="B387" t="s">
        <v>56</v>
      </c>
      <c r="C387" s="1">
        <v>44735</v>
      </c>
      <c r="D387" t="s">
        <v>64</v>
      </c>
      <c r="E387" t="s">
        <v>67</v>
      </c>
      <c r="F387">
        <v>95</v>
      </c>
      <c r="G387" t="s">
        <v>2</v>
      </c>
      <c r="H387" s="2">
        <v>6</v>
      </c>
      <c r="I387" s="3">
        <v>0.37937934610324464</v>
      </c>
      <c r="J387">
        <f>PRODUCT(Table3[[#This Row],[Price of One Product]],Table3[[#This Row],[No of Products in one Sale]])</f>
        <v>570</v>
      </c>
      <c r="K387" s="6">
        <f>Table3[[#This Row],[Actual Sale]]*(1-Table3[[#This Row],[Discount]])</f>
        <v>353.75377272115054</v>
      </c>
      <c r="L387" t="str">
        <f>TEXT(Table3[[#This Row],[Sale Date]],"dddd")</f>
        <v>Thursday</v>
      </c>
    </row>
    <row r="388" spans="1:12" x14ac:dyDescent="0.3">
      <c r="A388" t="s">
        <v>411</v>
      </c>
      <c r="B388" t="s">
        <v>51</v>
      </c>
      <c r="C388" s="1">
        <v>44734</v>
      </c>
      <c r="D388" t="s">
        <v>59</v>
      </c>
      <c r="E388" t="s">
        <v>66</v>
      </c>
      <c r="F388">
        <v>72</v>
      </c>
      <c r="G388" t="s">
        <v>0</v>
      </c>
      <c r="H388" s="2">
        <v>11</v>
      </c>
      <c r="I388" s="3">
        <v>0.35891515866951118</v>
      </c>
      <c r="J388">
        <f>PRODUCT(Table3[[#This Row],[Price of One Product]],Table3[[#This Row],[No of Products in one Sale]])</f>
        <v>792</v>
      </c>
      <c r="K388" s="6">
        <f>Table3[[#This Row],[Actual Sale]]*(1-Table3[[#This Row],[Discount]])</f>
        <v>507.73919433374715</v>
      </c>
      <c r="L388" t="str">
        <f>TEXT(Table3[[#This Row],[Sale Date]],"dddd")</f>
        <v>Wednesday</v>
      </c>
    </row>
    <row r="389" spans="1:12" x14ac:dyDescent="0.3">
      <c r="A389" t="s">
        <v>412</v>
      </c>
      <c r="B389" t="s">
        <v>52</v>
      </c>
      <c r="C389" s="1">
        <v>44728</v>
      </c>
      <c r="D389" t="s">
        <v>60</v>
      </c>
      <c r="E389" t="s">
        <v>67</v>
      </c>
      <c r="F389">
        <v>65</v>
      </c>
      <c r="G389" t="s">
        <v>1</v>
      </c>
      <c r="H389" s="2">
        <v>13</v>
      </c>
      <c r="I389" s="3">
        <v>0.90122352916020354</v>
      </c>
      <c r="J389">
        <f>PRODUCT(Table3[[#This Row],[Price of One Product]],Table3[[#This Row],[No of Products in one Sale]])</f>
        <v>845</v>
      </c>
      <c r="K389" s="6">
        <f>Table3[[#This Row],[Actual Sale]]*(1-Table3[[#This Row],[Discount]])</f>
        <v>83.466117859628014</v>
      </c>
      <c r="L389" t="str">
        <f>TEXT(Table3[[#This Row],[Sale Date]],"dddd")</f>
        <v>Thursday</v>
      </c>
    </row>
    <row r="390" spans="1:12" x14ac:dyDescent="0.3">
      <c r="A390" t="s">
        <v>413</v>
      </c>
      <c r="B390" t="s">
        <v>53</v>
      </c>
      <c r="C390" s="1">
        <v>44739</v>
      </c>
      <c r="D390" t="s">
        <v>61</v>
      </c>
      <c r="E390" t="s">
        <v>67</v>
      </c>
      <c r="F390">
        <v>250</v>
      </c>
      <c r="G390" t="s">
        <v>2</v>
      </c>
      <c r="H390" s="2">
        <v>3</v>
      </c>
      <c r="I390" s="3">
        <v>0.37786597877728811</v>
      </c>
      <c r="J390">
        <f>PRODUCT(Table3[[#This Row],[Price of One Product]],Table3[[#This Row],[No of Products in one Sale]])</f>
        <v>750</v>
      </c>
      <c r="K390" s="6">
        <f>Table3[[#This Row],[Actual Sale]]*(1-Table3[[#This Row],[Discount]])</f>
        <v>466.60051591703393</v>
      </c>
      <c r="L390" t="str">
        <f>TEXT(Table3[[#This Row],[Sale Date]],"dddd")</f>
        <v>Monday</v>
      </c>
    </row>
    <row r="391" spans="1:12" x14ac:dyDescent="0.3">
      <c r="A391" t="s">
        <v>414</v>
      </c>
      <c r="B391" t="s">
        <v>54</v>
      </c>
      <c r="C391" s="1">
        <v>44765</v>
      </c>
      <c r="D391" t="s">
        <v>62</v>
      </c>
      <c r="E391" t="s">
        <v>67</v>
      </c>
      <c r="F391">
        <v>130</v>
      </c>
      <c r="G391" t="s">
        <v>0</v>
      </c>
      <c r="H391" s="2">
        <v>3</v>
      </c>
      <c r="I391" s="3">
        <v>0.38913445453338702</v>
      </c>
      <c r="J391">
        <f>PRODUCT(Table3[[#This Row],[Price of One Product]],Table3[[#This Row],[No of Products in one Sale]])</f>
        <v>390</v>
      </c>
      <c r="K391" s="6">
        <f>Table3[[#This Row],[Actual Sale]]*(1-Table3[[#This Row],[Discount]])</f>
        <v>238.23756273197907</v>
      </c>
      <c r="L391" t="str">
        <f>TEXT(Table3[[#This Row],[Sale Date]],"dddd")</f>
        <v>Saturday</v>
      </c>
    </row>
    <row r="392" spans="1:12" x14ac:dyDescent="0.3">
      <c r="A392" t="s">
        <v>415</v>
      </c>
      <c r="B392" t="s">
        <v>51</v>
      </c>
      <c r="C392" s="1">
        <v>44740</v>
      </c>
      <c r="D392" t="s">
        <v>59</v>
      </c>
      <c r="E392" t="s">
        <v>67</v>
      </c>
      <c r="F392">
        <v>72</v>
      </c>
      <c r="G392" t="s">
        <v>1</v>
      </c>
      <c r="H392" s="2">
        <v>12</v>
      </c>
      <c r="I392" s="3">
        <v>0.60714667724340543</v>
      </c>
      <c r="J392">
        <f>PRODUCT(Table3[[#This Row],[Price of One Product]],Table3[[#This Row],[No of Products in one Sale]])</f>
        <v>864</v>
      </c>
      <c r="K392" s="6">
        <f>Table3[[#This Row],[Actual Sale]]*(1-Table3[[#This Row],[Discount]])</f>
        <v>339.4252708616977</v>
      </c>
      <c r="L392" t="str">
        <f>TEXT(Table3[[#This Row],[Sale Date]],"dddd")</f>
        <v>Tuesday</v>
      </c>
    </row>
    <row r="393" spans="1:12" x14ac:dyDescent="0.3">
      <c r="A393" t="s">
        <v>416</v>
      </c>
      <c r="B393" t="s">
        <v>52</v>
      </c>
      <c r="C393" s="1">
        <v>44734</v>
      </c>
      <c r="D393" t="s">
        <v>60</v>
      </c>
      <c r="E393" t="s">
        <v>67</v>
      </c>
      <c r="F393">
        <v>65</v>
      </c>
      <c r="G393" t="s">
        <v>2</v>
      </c>
      <c r="H393" s="2">
        <v>8</v>
      </c>
      <c r="I393" s="3">
        <v>0.17261163513710231</v>
      </c>
      <c r="J393">
        <f>PRODUCT(Table3[[#This Row],[Price of One Product]],Table3[[#This Row],[No of Products in one Sale]])</f>
        <v>520</v>
      </c>
      <c r="K393" s="6">
        <f>Table3[[#This Row],[Actual Sale]]*(1-Table3[[#This Row],[Discount]])</f>
        <v>430.2419497287068</v>
      </c>
      <c r="L393" t="str">
        <f>TEXT(Table3[[#This Row],[Sale Date]],"dddd")</f>
        <v>Wednesday</v>
      </c>
    </row>
    <row r="394" spans="1:12" x14ac:dyDescent="0.3">
      <c r="A394" t="s">
        <v>417</v>
      </c>
      <c r="B394" t="s">
        <v>53</v>
      </c>
      <c r="C394" s="1">
        <v>44727</v>
      </c>
      <c r="D394" t="s">
        <v>61</v>
      </c>
      <c r="E394" t="s">
        <v>66</v>
      </c>
      <c r="F394">
        <v>250</v>
      </c>
      <c r="G394" t="s">
        <v>0</v>
      </c>
      <c r="H394" s="2">
        <v>1</v>
      </c>
      <c r="I394" s="3">
        <v>3.4451566476951467E-2</v>
      </c>
      <c r="J394">
        <f>PRODUCT(Table3[[#This Row],[Price of One Product]],Table3[[#This Row],[No of Products in one Sale]])</f>
        <v>250</v>
      </c>
      <c r="K394" s="6">
        <f>Table3[[#This Row],[Actual Sale]]*(1-Table3[[#This Row],[Discount]])</f>
        <v>241.38710838076213</v>
      </c>
      <c r="L394" t="str">
        <f>TEXT(Table3[[#This Row],[Sale Date]],"dddd")</f>
        <v>Wednesday</v>
      </c>
    </row>
    <row r="395" spans="1:12" x14ac:dyDescent="0.3">
      <c r="A395" t="s">
        <v>418</v>
      </c>
      <c r="B395" t="s">
        <v>54</v>
      </c>
      <c r="C395" s="1">
        <v>44737</v>
      </c>
      <c r="D395" t="s">
        <v>62</v>
      </c>
      <c r="E395" t="s">
        <v>67</v>
      </c>
      <c r="F395">
        <v>130</v>
      </c>
      <c r="G395" t="s">
        <v>1</v>
      </c>
      <c r="H395" s="2">
        <v>4</v>
      </c>
      <c r="I395" s="3">
        <v>0.36600821552214791</v>
      </c>
      <c r="J395">
        <f>PRODUCT(Table3[[#This Row],[Price of One Product]],Table3[[#This Row],[No of Products in one Sale]])</f>
        <v>520</v>
      </c>
      <c r="K395" s="6">
        <f>Table3[[#This Row],[Actual Sale]]*(1-Table3[[#This Row],[Discount]])</f>
        <v>329.67572792848307</v>
      </c>
      <c r="L395" t="str">
        <f>TEXT(Table3[[#This Row],[Sale Date]],"dddd")</f>
        <v>Saturday</v>
      </c>
    </row>
    <row r="396" spans="1:12" x14ac:dyDescent="0.3">
      <c r="A396" t="s">
        <v>419</v>
      </c>
      <c r="B396" t="s">
        <v>55</v>
      </c>
      <c r="C396" s="1">
        <v>44747</v>
      </c>
      <c r="D396" t="s">
        <v>63</v>
      </c>
      <c r="E396" t="s">
        <v>66</v>
      </c>
      <c r="F396">
        <v>60</v>
      </c>
      <c r="G396" t="s">
        <v>2</v>
      </c>
      <c r="H396" s="2">
        <v>4</v>
      </c>
      <c r="I396" s="3">
        <v>0.36876304797324455</v>
      </c>
      <c r="J396">
        <f>PRODUCT(Table3[[#This Row],[Price of One Product]],Table3[[#This Row],[No of Products in one Sale]])</f>
        <v>240</v>
      </c>
      <c r="K396" s="6">
        <f>Table3[[#This Row],[Actual Sale]]*(1-Table3[[#This Row],[Discount]])</f>
        <v>151.49686848642131</v>
      </c>
      <c r="L396" t="str">
        <f>TEXT(Table3[[#This Row],[Sale Date]],"dddd")</f>
        <v>Tuesday</v>
      </c>
    </row>
    <row r="397" spans="1:12" x14ac:dyDescent="0.3">
      <c r="A397" t="s">
        <v>420</v>
      </c>
      <c r="B397" t="s">
        <v>51</v>
      </c>
      <c r="C397" s="1">
        <v>44754</v>
      </c>
      <c r="D397" t="s">
        <v>59</v>
      </c>
      <c r="E397" t="s">
        <v>67</v>
      </c>
      <c r="F397">
        <v>72</v>
      </c>
      <c r="G397" t="s">
        <v>0</v>
      </c>
      <c r="H397" s="2">
        <v>12</v>
      </c>
      <c r="I397" s="3">
        <v>0.78491525862060318</v>
      </c>
      <c r="J397">
        <f>PRODUCT(Table3[[#This Row],[Price of One Product]],Table3[[#This Row],[No of Products in one Sale]])</f>
        <v>864</v>
      </c>
      <c r="K397" s="6">
        <f>Table3[[#This Row],[Actual Sale]]*(1-Table3[[#This Row],[Discount]])</f>
        <v>185.83321655179884</v>
      </c>
      <c r="L397" t="str">
        <f>TEXT(Table3[[#This Row],[Sale Date]],"dddd")</f>
        <v>Tuesday</v>
      </c>
    </row>
    <row r="398" spans="1:12" x14ac:dyDescent="0.3">
      <c r="A398" t="s">
        <v>421</v>
      </c>
      <c r="B398" t="s">
        <v>52</v>
      </c>
      <c r="C398" s="1">
        <v>44760</v>
      </c>
      <c r="D398" t="s">
        <v>60</v>
      </c>
      <c r="E398" t="s">
        <v>66</v>
      </c>
      <c r="F398">
        <v>65</v>
      </c>
      <c r="G398" t="s">
        <v>1</v>
      </c>
      <c r="H398" s="2">
        <v>4</v>
      </c>
      <c r="I398" s="3">
        <v>0.89433154555842931</v>
      </c>
      <c r="J398">
        <f>PRODUCT(Table3[[#This Row],[Price of One Product]],Table3[[#This Row],[No of Products in one Sale]])</f>
        <v>260</v>
      </c>
      <c r="K398" s="6">
        <f>Table3[[#This Row],[Actual Sale]]*(1-Table3[[#This Row],[Discount]])</f>
        <v>27.473798154808378</v>
      </c>
      <c r="L398" t="str">
        <f>TEXT(Table3[[#This Row],[Sale Date]],"dddd")</f>
        <v>Monday</v>
      </c>
    </row>
    <row r="399" spans="1:12" x14ac:dyDescent="0.3">
      <c r="A399" t="s">
        <v>422</v>
      </c>
      <c r="B399" t="s">
        <v>53</v>
      </c>
      <c r="C399" s="1">
        <v>44759</v>
      </c>
      <c r="D399" t="s">
        <v>61</v>
      </c>
      <c r="E399" t="s">
        <v>67</v>
      </c>
      <c r="F399">
        <v>250</v>
      </c>
      <c r="G399" t="s">
        <v>2</v>
      </c>
      <c r="H399" s="2">
        <v>1</v>
      </c>
      <c r="I399" s="3">
        <v>0.54494310667938251</v>
      </c>
      <c r="J399">
        <f>PRODUCT(Table3[[#This Row],[Price of One Product]],Table3[[#This Row],[No of Products in one Sale]])</f>
        <v>250</v>
      </c>
      <c r="K399" s="6">
        <f>Table3[[#This Row],[Actual Sale]]*(1-Table3[[#This Row],[Discount]])</f>
        <v>113.76422333015438</v>
      </c>
      <c r="L399" t="str">
        <f>TEXT(Table3[[#This Row],[Sale Date]],"dddd")</f>
        <v>Sunday</v>
      </c>
    </row>
    <row r="400" spans="1:12" x14ac:dyDescent="0.3">
      <c r="A400" t="s">
        <v>423</v>
      </c>
      <c r="B400" t="s">
        <v>54</v>
      </c>
      <c r="C400" s="1">
        <v>44735</v>
      </c>
      <c r="D400" t="s">
        <v>62</v>
      </c>
      <c r="E400" t="s">
        <v>66</v>
      </c>
      <c r="F400">
        <v>130</v>
      </c>
      <c r="G400" t="s">
        <v>0</v>
      </c>
      <c r="H400" s="2">
        <v>7</v>
      </c>
      <c r="I400" s="3">
        <v>0.84443209424513666</v>
      </c>
      <c r="J400">
        <f>PRODUCT(Table3[[#This Row],[Price of One Product]],Table3[[#This Row],[No of Products in one Sale]])</f>
        <v>910</v>
      </c>
      <c r="K400" s="6">
        <f>Table3[[#This Row],[Actual Sale]]*(1-Table3[[#This Row],[Discount]])</f>
        <v>141.56679423692563</v>
      </c>
      <c r="L400" t="str">
        <f>TEXT(Table3[[#This Row],[Sale Date]],"dddd")</f>
        <v>Thursday</v>
      </c>
    </row>
    <row r="401" spans="1:12" x14ac:dyDescent="0.3">
      <c r="A401" t="s">
        <v>424</v>
      </c>
      <c r="B401" t="s">
        <v>51</v>
      </c>
      <c r="C401" s="1">
        <v>44734</v>
      </c>
      <c r="D401" t="s">
        <v>59</v>
      </c>
      <c r="E401" t="s">
        <v>67</v>
      </c>
      <c r="F401">
        <v>72</v>
      </c>
      <c r="G401" t="s">
        <v>1</v>
      </c>
      <c r="H401" s="2">
        <v>7</v>
      </c>
      <c r="I401" s="3">
        <v>0.11084077878058052</v>
      </c>
      <c r="J401">
        <f>PRODUCT(Table3[[#This Row],[Price of One Product]],Table3[[#This Row],[No of Products in one Sale]])</f>
        <v>504</v>
      </c>
      <c r="K401" s="6">
        <f>Table3[[#This Row],[Actual Sale]]*(1-Table3[[#This Row],[Discount]])</f>
        <v>448.13624749458739</v>
      </c>
      <c r="L401" t="str">
        <f>TEXT(Table3[[#This Row],[Sale Date]],"dddd")</f>
        <v>Wednesday</v>
      </c>
    </row>
    <row r="402" spans="1:12" x14ac:dyDescent="0.3">
      <c r="A402" t="s">
        <v>425</v>
      </c>
      <c r="B402" t="s">
        <v>52</v>
      </c>
      <c r="C402" s="1">
        <v>44753</v>
      </c>
      <c r="D402" t="s">
        <v>60</v>
      </c>
      <c r="E402" t="s">
        <v>66</v>
      </c>
      <c r="F402">
        <v>65</v>
      </c>
      <c r="G402" t="s">
        <v>2</v>
      </c>
      <c r="H402" s="2">
        <v>9</v>
      </c>
      <c r="I402" s="3">
        <v>0.26630312920291821</v>
      </c>
      <c r="J402">
        <f>PRODUCT(Table3[[#This Row],[Price of One Product]],Table3[[#This Row],[No of Products in one Sale]])</f>
        <v>585</v>
      </c>
      <c r="K402" s="6">
        <f>Table3[[#This Row],[Actual Sale]]*(1-Table3[[#This Row],[Discount]])</f>
        <v>429.21266941629284</v>
      </c>
      <c r="L402" t="str">
        <f>TEXT(Table3[[#This Row],[Sale Date]],"dddd")</f>
        <v>Monday</v>
      </c>
    </row>
    <row r="403" spans="1:12" x14ac:dyDescent="0.3">
      <c r="A403" t="s">
        <v>426</v>
      </c>
      <c r="B403" t="s">
        <v>53</v>
      </c>
      <c r="C403" s="1">
        <v>44739</v>
      </c>
      <c r="D403" t="s">
        <v>61</v>
      </c>
      <c r="E403" t="s">
        <v>67</v>
      </c>
      <c r="F403">
        <v>250</v>
      </c>
      <c r="G403" t="s">
        <v>0</v>
      </c>
      <c r="H403" s="2">
        <v>3</v>
      </c>
      <c r="I403" s="3">
        <v>0.13279161787420113</v>
      </c>
      <c r="J403">
        <f>PRODUCT(Table3[[#This Row],[Price of One Product]],Table3[[#This Row],[No of Products in one Sale]])</f>
        <v>750</v>
      </c>
      <c r="K403" s="6">
        <f>Table3[[#This Row],[Actual Sale]]*(1-Table3[[#This Row],[Discount]])</f>
        <v>650.40628659434913</v>
      </c>
      <c r="L403" t="str">
        <f>TEXT(Table3[[#This Row],[Sale Date]],"dddd")</f>
        <v>Monday</v>
      </c>
    </row>
    <row r="404" spans="1:12" x14ac:dyDescent="0.3">
      <c r="A404" t="s">
        <v>427</v>
      </c>
      <c r="B404" t="s">
        <v>54</v>
      </c>
      <c r="C404" s="1">
        <v>44740</v>
      </c>
      <c r="D404" t="s">
        <v>62</v>
      </c>
      <c r="E404" t="s">
        <v>66</v>
      </c>
      <c r="F404">
        <v>130</v>
      </c>
      <c r="G404" t="s">
        <v>1</v>
      </c>
      <c r="H404" s="2">
        <v>4</v>
      </c>
      <c r="I404" s="3">
        <v>0.20794478004129135</v>
      </c>
      <c r="J404">
        <f>PRODUCT(Table3[[#This Row],[Price of One Product]],Table3[[#This Row],[No of Products in one Sale]])</f>
        <v>520</v>
      </c>
      <c r="K404" s="6">
        <f>Table3[[#This Row],[Actual Sale]]*(1-Table3[[#This Row],[Discount]])</f>
        <v>411.86871437852852</v>
      </c>
      <c r="L404" t="str">
        <f>TEXT(Table3[[#This Row],[Sale Date]],"dddd")</f>
        <v>Tuesday</v>
      </c>
    </row>
    <row r="405" spans="1:12" x14ac:dyDescent="0.3">
      <c r="A405" t="s">
        <v>428</v>
      </c>
      <c r="B405" t="s">
        <v>55</v>
      </c>
      <c r="C405" s="1">
        <v>44748</v>
      </c>
      <c r="D405" t="s">
        <v>63</v>
      </c>
      <c r="E405" t="s">
        <v>67</v>
      </c>
      <c r="F405">
        <v>60</v>
      </c>
      <c r="G405" t="s">
        <v>2</v>
      </c>
      <c r="H405" s="2">
        <v>12</v>
      </c>
      <c r="I405" s="3">
        <v>0.76031378549826045</v>
      </c>
      <c r="J405">
        <f>PRODUCT(Table3[[#This Row],[Price of One Product]],Table3[[#This Row],[No of Products in one Sale]])</f>
        <v>720</v>
      </c>
      <c r="K405" s="6">
        <f>Table3[[#This Row],[Actual Sale]]*(1-Table3[[#This Row],[Discount]])</f>
        <v>172.57407444125246</v>
      </c>
      <c r="L405" t="str">
        <f>TEXT(Table3[[#This Row],[Sale Date]],"dddd")</f>
        <v>Wednesday</v>
      </c>
    </row>
    <row r="406" spans="1:12" x14ac:dyDescent="0.3">
      <c r="A406" t="s">
        <v>429</v>
      </c>
      <c r="B406" t="s">
        <v>56</v>
      </c>
      <c r="C406" s="1">
        <v>44731</v>
      </c>
      <c r="D406" t="s">
        <v>64</v>
      </c>
      <c r="E406" t="s">
        <v>66</v>
      </c>
      <c r="F406">
        <v>95</v>
      </c>
      <c r="G406" t="s">
        <v>0</v>
      </c>
      <c r="H406" s="2">
        <v>8</v>
      </c>
      <c r="I406" s="3">
        <v>0.23804641255169789</v>
      </c>
      <c r="J406">
        <f>PRODUCT(Table3[[#This Row],[Price of One Product]],Table3[[#This Row],[No of Products in one Sale]])</f>
        <v>760</v>
      </c>
      <c r="K406" s="6">
        <f>Table3[[#This Row],[Actual Sale]]*(1-Table3[[#This Row],[Discount]])</f>
        <v>579.08472646070959</v>
      </c>
      <c r="L406" t="str">
        <f>TEXT(Table3[[#This Row],[Sale Date]],"dddd")</f>
        <v>Sunday</v>
      </c>
    </row>
    <row r="407" spans="1:12" x14ac:dyDescent="0.3">
      <c r="A407" t="s">
        <v>430</v>
      </c>
      <c r="B407" t="s">
        <v>51</v>
      </c>
      <c r="C407" s="1">
        <v>44763</v>
      </c>
      <c r="D407" t="s">
        <v>59</v>
      </c>
      <c r="E407" t="s">
        <v>67</v>
      </c>
      <c r="F407">
        <v>72</v>
      </c>
      <c r="G407" t="s">
        <v>1</v>
      </c>
      <c r="H407" s="2">
        <v>5</v>
      </c>
      <c r="I407" s="3">
        <v>0.12523689369936652</v>
      </c>
      <c r="J407">
        <f>PRODUCT(Table3[[#This Row],[Price of One Product]],Table3[[#This Row],[No of Products in one Sale]])</f>
        <v>360</v>
      </c>
      <c r="K407" s="6">
        <f>Table3[[#This Row],[Actual Sale]]*(1-Table3[[#This Row],[Discount]])</f>
        <v>314.91471826822806</v>
      </c>
      <c r="L407" t="str">
        <f>TEXT(Table3[[#This Row],[Sale Date]],"dddd")</f>
        <v>Thursday</v>
      </c>
    </row>
    <row r="408" spans="1:12" x14ac:dyDescent="0.3">
      <c r="A408" t="s">
        <v>431</v>
      </c>
      <c r="B408" t="s">
        <v>52</v>
      </c>
      <c r="C408" s="1">
        <v>44733</v>
      </c>
      <c r="D408" t="s">
        <v>60</v>
      </c>
      <c r="E408" t="s">
        <v>66</v>
      </c>
      <c r="F408">
        <v>65</v>
      </c>
      <c r="G408" t="s">
        <v>2</v>
      </c>
      <c r="H408" s="2">
        <v>4</v>
      </c>
      <c r="I408" s="3">
        <v>6.7101746358327108E-2</v>
      </c>
      <c r="J408">
        <f>PRODUCT(Table3[[#This Row],[Price of One Product]],Table3[[#This Row],[No of Products in one Sale]])</f>
        <v>260</v>
      </c>
      <c r="K408" s="6">
        <f>Table3[[#This Row],[Actual Sale]]*(1-Table3[[#This Row],[Discount]])</f>
        <v>242.55354594683496</v>
      </c>
      <c r="L408" t="str">
        <f>TEXT(Table3[[#This Row],[Sale Date]],"dddd")</f>
        <v>Tuesday</v>
      </c>
    </row>
    <row r="409" spans="1:12" x14ac:dyDescent="0.3">
      <c r="A409" t="s">
        <v>432</v>
      </c>
      <c r="B409" t="s">
        <v>53</v>
      </c>
      <c r="C409" s="1">
        <v>44746</v>
      </c>
      <c r="D409" t="s">
        <v>61</v>
      </c>
      <c r="E409" t="s">
        <v>67</v>
      </c>
      <c r="F409">
        <v>250</v>
      </c>
      <c r="G409" t="s">
        <v>0</v>
      </c>
      <c r="H409" s="2">
        <v>2</v>
      </c>
      <c r="I409" s="3">
        <v>0.98970617123906524</v>
      </c>
      <c r="J409">
        <f>PRODUCT(Table3[[#This Row],[Price of One Product]],Table3[[#This Row],[No of Products in one Sale]])</f>
        <v>500</v>
      </c>
      <c r="K409" s="6">
        <f>Table3[[#This Row],[Actual Sale]]*(1-Table3[[#This Row],[Discount]])</f>
        <v>5.1469143804673827</v>
      </c>
      <c r="L409" t="str">
        <f>TEXT(Table3[[#This Row],[Sale Date]],"dddd")</f>
        <v>Monday</v>
      </c>
    </row>
    <row r="410" spans="1:12" x14ac:dyDescent="0.3">
      <c r="A410" t="s">
        <v>433</v>
      </c>
      <c r="B410" t="s">
        <v>54</v>
      </c>
      <c r="C410" s="1">
        <v>44755</v>
      </c>
      <c r="D410" t="s">
        <v>62</v>
      </c>
      <c r="E410" t="s">
        <v>66</v>
      </c>
      <c r="F410">
        <v>130</v>
      </c>
      <c r="G410" t="s">
        <v>1</v>
      </c>
      <c r="H410" s="2">
        <v>2</v>
      </c>
      <c r="I410" s="3">
        <v>0.26202679185175082</v>
      </c>
      <c r="J410">
        <f>PRODUCT(Table3[[#This Row],[Price of One Product]],Table3[[#This Row],[No of Products in one Sale]])</f>
        <v>260</v>
      </c>
      <c r="K410" s="6">
        <f>Table3[[#This Row],[Actual Sale]]*(1-Table3[[#This Row],[Discount]])</f>
        <v>191.87303411854478</v>
      </c>
      <c r="L410" t="str">
        <f>TEXT(Table3[[#This Row],[Sale Date]],"dddd")</f>
        <v>Wednesday</v>
      </c>
    </row>
    <row r="411" spans="1:12" x14ac:dyDescent="0.3">
      <c r="A411" t="s">
        <v>434</v>
      </c>
      <c r="B411" t="s">
        <v>51</v>
      </c>
      <c r="C411" s="1">
        <v>44755</v>
      </c>
      <c r="D411" t="s">
        <v>59</v>
      </c>
      <c r="E411" t="s">
        <v>67</v>
      </c>
      <c r="F411">
        <v>72</v>
      </c>
      <c r="G411" t="s">
        <v>2</v>
      </c>
      <c r="H411" s="2">
        <v>10</v>
      </c>
      <c r="I411" s="3">
        <v>0.87263143953916489</v>
      </c>
      <c r="J411">
        <f>PRODUCT(Table3[[#This Row],[Price of One Product]],Table3[[#This Row],[No of Products in one Sale]])</f>
        <v>720</v>
      </c>
      <c r="K411" s="6">
        <f>Table3[[#This Row],[Actual Sale]]*(1-Table3[[#This Row],[Discount]])</f>
        <v>91.705363531801282</v>
      </c>
      <c r="L411" t="str">
        <f>TEXT(Table3[[#This Row],[Sale Date]],"dddd")</f>
        <v>Wednesday</v>
      </c>
    </row>
    <row r="412" spans="1:12" x14ac:dyDescent="0.3">
      <c r="A412" t="s">
        <v>435</v>
      </c>
      <c r="B412" t="s">
        <v>52</v>
      </c>
      <c r="C412" s="1">
        <v>44727</v>
      </c>
      <c r="D412" t="s">
        <v>60</v>
      </c>
      <c r="E412" t="s">
        <v>67</v>
      </c>
      <c r="F412">
        <v>65</v>
      </c>
      <c r="G412" t="s">
        <v>0</v>
      </c>
      <c r="H412" s="2">
        <v>6</v>
      </c>
      <c r="I412" s="3">
        <v>0.76778137062272289</v>
      </c>
      <c r="J412">
        <f>PRODUCT(Table3[[#This Row],[Price of One Product]],Table3[[#This Row],[No of Products in one Sale]])</f>
        <v>390</v>
      </c>
      <c r="K412" s="6">
        <f>Table3[[#This Row],[Actual Sale]]*(1-Table3[[#This Row],[Discount]])</f>
        <v>90.565265457138068</v>
      </c>
      <c r="L412" t="str">
        <f>TEXT(Table3[[#This Row],[Sale Date]],"dddd")</f>
        <v>Wednesday</v>
      </c>
    </row>
    <row r="413" spans="1:12" x14ac:dyDescent="0.3">
      <c r="A413" t="s">
        <v>436</v>
      </c>
      <c r="B413" t="s">
        <v>53</v>
      </c>
      <c r="C413" s="1">
        <v>44746</v>
      </c>
      <c r="D413" t="s">
        <v>61</v>
      </c>
      <c r="E413" t="s">
        <v>67</v>
      </c>
      <c r="F413">
        <v>250</v>
      </c>
      <c r="G413" t="s">
        <v>1</v>
      </c>
      <c r="H413" s="2">
        <v>1</v>
      </c>
      <c r="I413" s="3">
        <v>0.15750010631121669</v>
      </c>
      <c r="J413">
        <f>PRODUCT(Table3[[#This Row],[Price of One Product]],Table3[[#This Row],[No of Products in one Sale]])</f>
        <v>250</v>
      </c>
      <c r="K413" s="6">
        <f>Table3[[#This Row],[Actual Sale]]*(1-Table3[[#This Row],[Discount]])</f>
        <v>210.62497342219584</v>
      </c>
      <c r="L413" t="str">
        <f>TEXT(Table3[[#This Row],[Sale Date]],"dddd")</f>
        <v>Monday</v>
      </c>
    </row>
    <row r="414" spans="1:12" x14ac:dyDescent="0.3">
      <c r="A414" t="s">
        <v>437</v>
      </c>
      <c r="B414" t="s">
        <v>54</v>
      </c>
      <c r="C414" s="1">
        <v>44740</v>
      </c>
      <c r="D414" t="s">
        <v>59</v>
      </c>
      <c r="E414" t="s">
        <v>67</v>
      </c>
      <c r="F414">
        <v>72</v>
      </c>
      <c r="G414" t="s">
        <v>2</v>
      </c>
      <c r="H414" s="2">
        <v>9</v>
      </c>
      <c r="I414" s="3">
        <v>0.53570171465492589</v>
      </c>
      <c r="J414">
        <f>PRODUCT(Table3[[#This Row],[Price of One Product]],Table3[[#This Row],[No of Products in one Sale]])</f>
        <v>648</v>
      </c>
      <c r="K414" s="6">
        <f>Table3[[#This Row],[Actual Sale]]*(1-Table3[[#This Row],[Discount]])</f>
        <v>300.86528890360802</v>
      </c>
      <c r="L414" t="str">
        <f>TEXT(Table3[[#This Row],[Sale Date]],"dddd")</f>
        <v>Tuesday</v>
      </c>
    </row>
    <row r="415" spans="1:12" x14ac:dyDescent="0.3">
      <c r="A415" t="s">
        <v>438</v>
      </c>
      <c r="B415" t="s">
        <v>51</v>
      </c>
      <c r="C415" s="1">
        <v>44743</v>
      </c>
      <c r="D415" t="s">
        <v>60</v>
      </c>
      <c r="E415" t="s">
        <v>67</v>
      </c>
      <c r="F415">
        <v>65</v>
      </c>
      <c r="G415" t="s">
        <v>0</v>
      </c>
      <c r="H415" s="2">
        <v>7</v>
      </c>
      <c r="I415" s="3">
        <v>0.88217490075954386</v>
      </c>
      <c r="J415">
        <f>PRODUCT(Table3[[#This Row],[Price of One Product]],Table3[[#This Row],[No of Products in one Sale]])</f>
        <v>455</v>
      </c>
      <c r="K415" s="6">
        <f>Table3[[#This Row],[Actual Sale]]*(1-Table3[[#This Row],[Discount]])</f>
        <v>53.610420154407542</v>
      </c>
      <c r="L415" t="str">
        <f>TEXT(Table3[[#This Row],[Sale Date]],"dddd")</f>
        <v>Friday</v>
      </c>
    </row>
    <row r="416" spans="1:12" x14ac:dyDescent="0.3">
      <c r="A416" t="s">
        <v>439</v>
      </c>
      <c r="B416" t="s">
        <v>52</v>
      </c>
      <c r="C416" s="1">
        <v>44737</v>
      </c>
      <c r="D416" t="s">
        <v>61</v>
      </c>
      <c r="E416" t="s">
        <v>66</v>
      </c>
      <c r="F416">
        <v>250</v>
      </c>
      <c r="G416" t="s">
        <v>0</v>
      </c>
      <c r="H416" s="2">
        <v>3</v>
      </c>
      <c r="I416" s="3">
        <v>7.4850081465574259E-2</v>
      </c>
      <c r="J416">
        <f>PRODUCT(Table3[[#This Row],[Price of One Product]],Table3[[#This Row],[No of Products in one Sale]])</f>
        <v>750</v>
      </c>
      <c r="K416" s="6">
        <f>Table3[[#This Row],[Actual Sale]]*(1-Table3[[#This Row],[Discount]])</f>
        <v>693.86243890081926</v>
      </c>
      <c r="L416" t="str">
        <f>TEXT(Table3[[#This Row],[Sale Date]],"dddd")</f>
        <v>Saturday</v>
      </c>
    </row>
    <row r="417" spans="1:12" x14ac:dyDescent="0.3">
      <c r="A417" t="s">
        <v>440</v>
      </c>
      <c r="B417" t="s">
        <v>53</v>
      </c>
      <c r="C417" s="1">
        <v>44757</v>
      </c>
      <c r="D417" t="s">
        <v>62</v>
      </c>
      <c r="E417" t="s">
        <v>67</v>
      </c>
      <c r="F417">
        <v>130</v>
      </c>
      <c r="G417" t="s">
        <v>1</v>
      </c>
      <c r="H417" s="2">
        <v>4</v>
      </c>
      <c r="I417" s="3">
        <v>0.4623515242530305</v>
      </c>
      <c r="J417">
        <f>PRODUCT(Table3[[#This Row],[Price of One Product]],Table3[[#This Row],[No of Products in one Sale]])</f>
        <v>520</v>
      </c>
      <c r="K417" s="6">
        <f>Table3[[#This Row],[Actual Sale]]*(1-Table3[[#This Row],[Discount]])</f>
        <v>279.57720738842414</v>
      </c>
      <c r="L417" t="str">
        <f>TEXT(Table3[[#This Row],[Sale Date]],"dddd")</f>
        <v>Friday</v>
      </c>
    </row>
    <row r="418" spans="1:12" x14ac:dyDescent="0.3">
      <c r="A418" t="s">
        <v>441</v>
      </c>
      <c r="B418" t="s">
        <v>54</v>
      </c>
      <c r="C418" s="1">
        <v>44745</v>
      </c>
      <c r="D418" t="s">
        <v>59</v>
      </c>
      <c r="E418" t="s">
        <v>66</v>
      </c>
      <c r="F418">
        <v>72</v>
      </c>
      <c r="G418" t="s">
        <v>2</v>
      </c>
      <c r="H418" s="2">
        <v>10</v>
      </c>
      <c r="I418" s="3">
        <v>0.34462700763177134</v>
      </c>
      <c r="J418">
        <f>PRODUCT(Table3[[#This Row],[Price of One Product]],Table3[[#This Row],[No of Products in one Sale]])</f>
        <v>720</v>
      </c>
      <c r="K418" s="6">
        <f>Table3[[#This Row],[Actual Sale]]*(1-Table3[[#This Row],[Discount]])</f>
        <v>471.86855450512462</v>
      </c>
      <c r="L418" t="str">
        <f>TEXT(Table3[[#This Row],[Sale Date]],"dddd")</f>
        <v>Sunday</v>
      </c>
    </row>
    <row r="419" spans="1:12" x14ac:dyDescent="0.3">
      <c r="A419" t="s">
        <v>442</v>
      </c>
      <c r="B419" t="s">
        <v>51</v>
      </c>
      <c r="C419" s="1">
        <v>44760</v>
      </c>
      <c r="D419" t="s">
        <v>60</v>
      </c>
      <c r="E419" t="s">
        <v>67</v>
      </c>
      <c r="F419">
        <v>65</v>
      </c>
      <c r="G419" t="s">
        <v>0</v>
      </c>
      <c r="H419" s="2">
        <v>7</v>
      </c>
      <c r="I419" s="3">
        <v>0.69911624131260175</v>
      </c>
      <c r="J419">
        <f>PRODUCT(Table3[[#This Row],[Price of One Product]],Table3[[#This Row],[No of Products in one Sale]])</f>
        <v>455</v>
      </c>
      <c r="K419" s="6">
        <f>Table3[[#This Row],[Actual Sale]]*(1-Table3[[#This Row],[Discount]])</f>
        <v>136.90211020276621</v>
      </c>
      <c r="L419" t="str">
        <f>TEXT(Table3[[#This Row],[Sale Date]],"dddd")</f>
        <v>Monday</v>
      </c>
    </row>
    <row r="420" spans="1:12" x14ac:dyDescent="0.3">
      <c r="A420" t="s">
        <v>443</v>
      </c>
      <c r="B420" t="s">
        <v>52</v>
      </c>
      <c r="C420" s="1">
        <v>44750</v>
      </c>
      <c r="D420" t="s">
        <v>61</v>
      </c>
      <c r="E420" t="s">
        <v>66</v>
      </c>
      <c r="F420">
        <v>250</v>
      </c>
      <c r="G420" t="s">
        <v>1</v>
      </c>
      <c r="H420" s="2">
        <v>1</v>
      </c>
      <c r="I420" s="3">
        <v>1.890946986705988E-2</v>
      </c>
      <c r="J420">
        <f>PRODUCT(Table3[[#This Row],[Price of One Product]],Table3[[#This Row],[No of Products in one Sale]])</f>
        <v>250</v>
      </c>
      <c r="K420" s="6">
        <f>Table3[[#This Row],[Actual Sale]]*(1-Table3[[#This Row],[Discount]])</f>
        <v>245.27263253323503</v>
      </c>
      <c r="L420" t="str">
        <f>TEXT(Table3[[#This Row],[Sale Date]],"dddd")</f>
        <v>Friday</v>
      </c>
    </row>
    <row r="421" spans="1:12" x14ac:dyDescent="0.3">
      <c r="A421" t="s">
        <v>444</v>
      </c>
      <c r="B421" t="s">
        <v>53</v>
      </c>
      <c r="C421" s="1">
        <v>44742</v>
      </c>
      <c r="D421" t="s">
        <v>62</v>
      </c>
      <c r="E421" t="s">
        <v>67</v>
      </c>
      <c r="F421">
        <v>130</v>
      </c>
      <c r="G421" t="s">
        <v>2</v>
      </c>
      <c r="H421" s="2">
        <v>5</v>
      </c>
      <c r="I421" s="3">
        <v>0.73245470088007136</v>
      </c>
      <c r="J421">
        <f>PRODUCT(Table3[[#This Row],[Price of One Product]],Table3[[#This Row],[No of Products in one Sale]])</f>
        <v>650</v>
      </c>
      <c r="K421" s="6">
        <f>Table3[[#This Row],[Actual Sale]]*(1-Table3[[#This Row],[Discount]])</f>
        <v>173.90444442795362</v>
      </c>
      <c r="L421" t="str">
        <f>TEXT(Table3[[#This Row],[Sale Date]],"dddd")</f>
        <v>Thursday</v>
      </c>
    </row>
    <row r="422" spans="1:12" x14ac:dyDescent="0.3">
      <c r="A422" t="s">
        <v>445</v>
      </c>
      <c r="B422" t="s">
        <v>54</v>
      </c>
      <c r="C422" s="1">
        <v>44754</v>
      </c>
      <c r="D422" t="s">
        <v>63</v>
      </c>
      <c r="E422" t="s">
        <v>66</v>
      </c>
      <c r="F422">
        <v>60</v>
      </c>
      <c r="G422" t="s">
        <v>0</v>
      </c>
      <c r="H422" s="2">
        <v>5</v>
      </c>
      <c r="I422" s="3">
        <v>0.72297451744539321</v>
      </c>
      <c r="J422">
        <f>PRODUCT(Table3[[#This Row],[Price of One Product]],Table3[[#This Row],[No of Products in one Sale]])</f>
        <v>300</v>
      </c>
      <c r="K422" s="6">
        <f>Table3[[#This Row],[Actual Sale]]*(1-Table3[[#This Row],[Discount]])</f>
        <v>83.107644766382037</v>
      </c>
      <c r="L422" t="str">
        <f>TEXT(Table3[[#This Row],[Sale Date]],"dddd")</f>
        <v>Tuesday</v>
      </c>
    </row>
    <row r="423" spans="1:12" x14ac:dyDescent="0.3">
      <c r="A423" t="s">
        <v>446</v>
      </c>
      <c r="B423" t="s">
        <v>55</v>
      </c>
      <c r="C423" s="1">
        <v>44746</v>
      </c>
      <c r="D423" t="s">
        <v>59</v>
      </c>
      <c r="E423" t="s">
        <v>67</v>
      </c>
      <c r="F423">
        <v>72</v>
      </c>
      <c r="G423" t="s">
        <v>1</v>
      </c>
      <c r="H423" s="2">
        <v>9</v>
      </c>
      <c r="I423" s="3">
        <v>0.97417776505363807</v>
      </c>
      <c r="J423">
        <f>PRODUCT(Table3[[#This Row],[Price of One Product]],Table3[[#This Row],[No of Products in one Sale]])</f>
        <v>648</v>
      </c>
      <c r="K423" s="6">
        <f>Table3[[#This Row],[Actual Sale]]*(1-Table3[[#This Row],[Discount]])</f>
        <v>16.732808245242531</v>
      </c>
      <c r="L423" t="str">
        <f>TEXT(Table3[[#This Row],[Sale Date]],"dddd")</f>
        <v>Monday</v>
      </c>
    </row>
    <row r="424" spans="1:12" x14ac:dyDescent="0.3">
      <c r="A424" t="s">
        <v>447</v>
      </c>
      <c r="B424" t="s">
        <v>51</v>
      </c>
      <c r="C424" s="1">
        <v>44752</v>
      </c>
      <c r="D424" t="s">
        <v>60</v>
      </c>
      <c r="E424" t="s">
        <v>66</v>
      </c>
      <c r="F424">
        <v>65</v>
      </c>
      <c r="G424" t="s">
        <v>2</v>
      </c>
      <c r="H424" s="2">
        <v>7</v>
      </c>
      <c r="I424" s="3">
        <v>0.92441295707634297</v>
      </c>
      <c r="J424">
        <f>PRODUCT(Table3[[#This Row],[Price of One Product]],Table3[[#This Row],[No of Products in one Sale]])</f>
        <v>455</v>
      </c>
      <c r="K424" s="6">
        <f>Table3[[#This Row],[Actual Sale]]*(1-Table3[[#This Row],[Discount]])</f>
        <v>34.39210453026395</v>
      </c>
      <c r="L424" t="str">
        <f>TEXT(Table3[[#This Row],[Sale Date]],"dddd")</f>
        <v>Sunday</v>
      </c>
    </row>
    <row r="425" spans="1:12" x14ac:dyDescent="0.3">
      <c r="A425" t="s">
        <v>448</v>
      </c>
      <c r="B425" t="s">
        <v>52</v>
      </c>
      <c r="C425" s="1">
        <v>44725</v>
      </c>
      <c r="D425" t="s">
        <v>61</v>
      </c>
      <c r="E425" t="s">
        <v>67</v>
      </c>
      <c r="F425">
        <v>250</v>
      </c>
      <c r="G425" t="s">
        <v>0</v>
      </c>
      <c r="H425" s="2">
        <v>3</v>
      </c>
      <c r="I425" s="3">
        <v>0.34841204291363526</v>
      </c>
      <c r="J425">
        <f>PRODUCT(Table3[[#This Row],[Price of One Product]],Table3[[#This Row],[No of Products in one Sale]])</f>
        <v>750</v>
      </c>
      <c r="K425" s="6">
        <f>Table3[[#This Row],[Actual Sale]]*(1-Table3[[#This Row],[Discount]])</f>
        <v>488.69096781477356</v>
      </c>
      <c r="L425" t="str">
        <f>TEXT(Table3[[#This Row],[Sale Date]],"dddd")</f>
        <v>Monday</v>
      </c>
    </row>
    <row r="426" spans="1:12" x14ac:dyDescent="0.3">
      <c r="A426" t="s">
        <v>449</v>
      </c>
      <c r="B426" t="s">
        <v>53</v>
      </c>
      <c r="C426" s="1">
        <v>44734</v>
      </c>
      <c r="D426" t="s">
        <v>62</v>
      </c>
      <c r="E426" t="s">
        <v>66</v>
      </c>
      <c r="F426">
        <v>130</v>
      </c>
      <c r="G426" t="s">
        <v>1</v>
      </c>
      <c r="H426" s="2">
        <v>7</v>
      </c>
      <c r="I426" s="3">
        <v>0.36862795502486845</v>
      </c>
      <c r="J426">
        <f>PRODUCT(Table3[[#This Row],[Price of One Product]],Table3[[#This Row],[No of Products in one Sale]])</f>
        <v>910</v>
      </c>
      <c r="K426" s="6">
        <f>Table3[[#This Row],[Actual Sale]]*(1-Table3[[#This Row],[Discount]])</f>
        <v>574.54856092736975</v>
      </c>
      <c r="L426" t="str">
        <f>TEXT(Table3[[#This Row],[Sale Date]],"dddd")</f>
        <v>Wednesday</v>
      </c>
    </row>
    <row r="427" spans="1:12" x14ac:dyDescent="0.3">
      <c r="A427" t="s">
        <v>450</v>
      </c>
      <c r="B427" t="s">
        <v>54</v>
      </c>
      <c r="C427" s="1">
        <v>44761</v>
      </c>
      <c r="D427" t="s">
        <v>59</v>
      </c>
      <c r="E427" t="s">
        <v>67</v>
      </c>
      <c r="F427">
        <v>72</v>
      </c>
      <c r="G427" t="s">
        <v>2</v>
      </c>
      <c r="H427" s="2">
        <v>12</v>
      </c>
      <c r="I427" s="3">
        <v>0.38279600115505574</v>
      </c>
      <c r="J427">
        <f>PRODUCT(Table3[[#This Row],[Price of One Product]],Table3[[#This Row],[No of Products in one Sale]])</f>
        <v>864</v>
      </c>
      <c r="K427" s="6">
        <f>Table3[[#This Row],[Actual Sale]]*(1-Table3[[#This Row],[Discount]])</f>
        <v>533.26425500203186</v>
      </c>
      <c r="L427" t="str">
        <f>TEXT(Table3[[#This Row],[Sale Date]],"dddd")</f>
        <v>Tuesday</v>
      </c>
    </row>
    <row r="428" spans="1:12" x14ac:dyDescent="0.3">
      <c r="A428" t="s">
        <v>451</v>
      </c>
      <c r="B428" t="s">
        <v>51</v>
      </c>
      <c r="C428" s="1">
        <v>44735</v>
      </c>
      <c r="D428" t="s">
        <v>60</v>
      </c>
      <c r="E428" t="s">
        <v>66</v>
      </c>
      <c r="F428">
        <v>65</v>
      </c>
      <c r="G428" t="s">
        <v>0</v>
      </c>
      <c r="H428" s="2">
        <v>7</v>
      </c>
      <c r="I428" s="3">
        <v>0.77278161923763322</v>
      </c>
      <c r="J428">
        <f>PRODUCT(Table3[[#This Row],[Price of One Product]],Table3[[#This Row],[No of Products in one Sale]])</f>
        <v>455</v>
      </c>
      <c r="K428" s="6">
        <f>Table3[[#This Row],[Actual Sale]]*(1-Table3[[#This Row],[Discount]])</f>
        <v>103.38436324687689</v>
      </c>
      <c r="L428" t="str">
        <f>TEXT(Table3[[#This Row],[Sale Date]],"dddd")</f>
        <v>Thursday</v>
      </c>
    </row>
    <row r="429" spans="1:12" x14ac:dyDescent="0.3">
      <c r="A429" t="s">
        <v>452</v>
      </c>
      <c r="B429" t="s">
        <v>52</v>
      </c>
      <c r="C429" s="1">
        <v>44753</v>
      </c>
      <c r="D429" t="s">
        <v>61</v>
      </c>
      <c r="E429" t="s">
        <v>67</v>
      </c>
      <c r="F429">
        <v>250</v>
      </c>
      <c r="G429" t="s">
        <v>1</v>
      </c>
      <c r="H429" s="2">
        <v>3</v>
      </c>
      <c r="I429" s="3">
        <v>0.98194581947705439</v>
      </c>
      <c r="J429">
        <f>PRODUCT(Table3[[#This Row],[Price of One Product]],Table3[[#This Row],[No of Products in one Sale]])</f>
        <v>750</v>
      </c>
      <c r="K429" s="6">
        <f>Table3[[#This Row],[Actual Sale]]*(1-Table3[[#This Row],[Discount]])</f>
        <v>13.540635392209206</v>
      </c>
      <c r="L429" t="str">
        <f>TEXT(Table3[[#This Row],[Sale Date]],"dddd")</f>
        <v>Monday</v>
      </c>
    </row>
    <row r="430" spans="1:12" x14ac:dyDescent="0.3">
      <c r="A430" t="s">
        <v>453</v>
      </c>
      <c r="B430" t="s">
        <v>53</v>
      </c>
      <c r="C430" s="1">
        <v>44732</v>
      </c>
      <c r="D430" t="s">
        <v>62</v>
      </c>
      <c r="E430" t="s">
        <v>66</v>
      </c>
      <c r="F430">
        <v>130</v>
      </c>
      <c r="G430" t="s">
        <v>2</v>
      </c>
      <c r="H430" s="2">
        <v>6</v>
      </c>
      <c r="I430" s="3">
        <v>0.24372632968767749</v>
      </c>
      <c r="J430">
        <f>PRODUCT(Table3[[#This Row],[Price of One Product]],Table3[[#This Row],[No of Products in one Sale]])</f>
        <v>780</v>
      </c>
      <c r="K430" s="6">
        <f>Table3[[#This Row],[Actual Sale]]*(1-Table3[[#This Row],[Discount]])</f>
        <v>589.89346284361159</v>
      </c>
      <c r="L430" t="str">
        <f>TEXT(Table3[[#This Row],[Sale Date]],"dddd")</f>
        <v>Monday</v>
      </c>
    </row>
    <row r="431" spans="1:12" x14ac:dyDescent="0.3">
      <c r="A431" t="s">
        <v>454</v>
      </c>
      <c r="B431" t="s">
        <v>54</v>
      </c>
      <c r="C431" s="1">
        <v>44748</v>
      </c>
      <c r="D431" t="s">
        <v>63</v>
      </c>
      <c r="E431" t="s">
        <v>67</v>
      </c>
      <c r="F431">
        <v>60</v>
      </c>
      <c r="G431" t="s">
        <v>0</v>
      </c>
      <c r="H431" s="2">
        <v>14</v>
      </c>
      <c r="I431" s="3">
        <v>0.50977491571581557</v>
      </c>
      <c r="J431">
        <f>PRODUCT(Table3[[#This Row],[Price of One Product]],Table3[[#This Row],[No of Products in one Sale]])</f>
        <v>840</v>
      </c>
      <c r="K431" s="6">
        <f>Table3[[#This Row],[Actual Sale]]*(1-Table3[[#This Row],[Discount]])</f>
        <v>411.78907079871493</v>
      </c>
      <c r="L431" t="str">
        <f>TEXT(Table3[[#This Row],[Sale Date]],"dddd")</f>
        <v>Wednesday</v>
      </c>
    </row>
    <row r="432" spans="1:12" x14ac:dyDescent="0.3">
      <c r="A432" t="s">
        <v>455</v>
      </c>
      <c r="B432" t="s">
        <v>55</v>
      </c>
      <c r="C432" s="1">
        <v>44731</v>
      </c>
      <c r="D432" t="s">
        <v>64</v>
      </c>
      <c r="E432" t="s">
        <v>66</v>
      </c>
      <c r="F432">
        <v>95</v>
      </c>
      <c r="G432" t="s">
        <v>1</v>
      </c>
      <c r="H432" s="2">
        <v>7</v>
      </c>
      <c r="I432" s="3">
        <v>0.99123744515485723</v>
      </c>
      <c r="J432">
        <f>PRODUCT(Table3[[#This Row],[Price of One Product]],Table3[[#This Row],[No of Products in one Sale]])</f>
        <v>665</v>
      </c>
      <c r="K432" s="6">
        <f>Table3[[#This Row],[Actual Sale]]*(1-Table3[[#This Row],[Discount]])</f>
        <v>5.8270989720199404</v>
      </c>
      <c r="L432" t="str">
        <f>TEXT(Table3[[#This Row],[Sale Date]],"dddd")</f>
        <v>Sunday</v>
      </c>
    </row>
    <row r="433" spans="1:12" x14ac:dyDescent="0.3">
      <c r="A433" t="s">
        <v>456</v>
      </c>
      <c r="B433" t="s">
        <v>56</v>
      </c>
      <c r="C433" s="1">
        <v>44725</v>
      </c>
      <c r="D433" t="s">
        <v>59</v>
      </c>
      <c r="E433" t="s">
        <v>67</v>
      </c>
      <c r="F433">
        <v>72</v>
      </c>
      <c r="G433" t="s">
        <v>2</v>
      </c>
      <c r="H433" s="2">
        <v>5</v>
      </c>
      <c r="I433" s="3">
        <v>0.58001027642401182</v>
      </c>
      <c r="J433">
        <f>PRODUCT(Table3[[#This Row],[Price of One Product]],Table3[[#This Row],[No of Products in one Sale]])</f>
        <v>360</v>
      </c>
      <c r="K433" s="6">
        <f>Table3[[#This Row],[Actual Sale]]*(1-Table3[[#This Row],[Discount]])</f>
        <v>151.19630048735576</v>
      </c>
      <c r="L433" t="str">
        <f>TEXT(Table3[[#This Row],[Sale Date]],"dddd")</f>
        <v>Monday</v>
      </c>
    </row>
    <row r="434" spans="1:12" x14ac:dyDescent="0.3">
      <c r="A434" t="s">
        <v>457</v>
      </c>
      <c r="B434" t="s">
        <v>51</v>
      </c>
      <c r="C434" s="1">
        <v>44753</v>
      </c>
      <c r="D434" t="s">
        <v>60</v>
      </c>
      <c r="E434" t="s">
        <v>67</v>
      </c>
      <c r="F434">
        <v>65</v>
      </c>
      <c r="G434" t="s">
        <v>0</v>
      </c>
      <c r="H434" s="2">
        <v>8</v>
      </c>
      <c r="I434" s="3">
        <v>0.20099809520802481</v>
      </c>
      <c r="J434">
        <f>PRODUCT(Table3[[#This Row],[Price of One Product]],Table3[[#This Row],[No of Products in one Sale]])</f>
        <v>520</v>
      </c>
      <c r="K434" s="6">
        <f>Table3[[#This Row],[Actual Sale]]*(1-Table3[[#This Row],[Discount]])</f>
        <v>415.48099049182713</v>
      </c>
      <c r="L434" t="str">
        <f>TEXT(Table3[[#This Row],[Sale Date]],"dddd")</f>
        <v>Monday</v>
      </c>
    </row>
    <row r="435" spans="1:12" x14ac:dyDescent="0.3">
      <c r="A435" t="s">
        <v>458</v>
      </c>
      <c r="B435" t="s">
        <v>52</v>
      </c>
      <c r="C435" s="1">
        <v>44738</v>
      </c>
      <c r="D435" t="s">
        <v>61</v>
      </c>
      <c r="E435" t="s">
        <v>67</v>
      </c>
      <c r="F435">
        <v>250</v>
      </c>
      <c r="G435" t="s">
        <v>1</v>
      </c>
      <c r="H435" s="2">
        <v>3</v>
      </c>
      <c r="I435" s="3">
        <v>8.7589082057090373E-2</v>
      </c>
      <c r="J435">
        <f>PRODUCT(Table3[[#This Row],[Price of One Product]],Table3[[#This Row],[No of Products in one Sale]])</f>
        <v>750</v>
      </c>
      <c r="K435" s="6">
        <f>Table3[[#This Row],[Actual Sale]]*(1-Table3[[#This Row],[Discount]])</f>
        <v>684.30818845718227</v>
      </c>
      <c r="L435" t="str">
        <f>TEXT(Table3[[#This Row],[Sale Date]],"dddd")</f>
        <v>Sunday</v>
      </c>
    </row>
    <row r="436" spans="1:12" x14ac:dyDescent="0.3">
      <c r="A436" t="s">
        <v>459</v>
      </c>
      <c r="B436" t="s">
        <v>53</v>
      </c>
      <c r="C436" s="1">
        <v>44762</v>
      </c>
      <c r="D436" t="s">
        <v>62</v>
      </c>
      <c r="E436" t="s">
        <v>67</v>
      </c>
      <c r="F436">
        <v>130</v>
      </c>
      <c r="G436" t="s">
        <v>2</v>
      </c>
      <c r="H436" s="2">
        <v>4</v>
      </c>
      <c r="I436" s="3">
        <v>0.92203517798439572</v>
      </c>
      <c r="J436">
        <f>PRODUCT(Table3[[#This Row],[Price of One Product]],Table3[[#This Row],[No of Products in one Sale]])</f>
        <v>520</v>
      </c>
      <c r="K436" s="6">
        <f>Table3[[#This Row],[Actual Sale]]*(1-Table3[[#This Row],[Discount]])</f>
        <v>40.541707448114231</v>
      </c>
      <c r="L436" t="str">
        <f>TEXT(Table3[[#This Row],[Sale Date]],"dddd")</f>
        <v>Wednesday</v>
      </c>
    </row>
    <row r="437" spans="1:12" x14ac:dyDescent="0.3">
      <c r="A437" t="s">
        <v>460</v>
      </c>
      <c r="B437" t="s">
        <v>54</v>
      </c>
      <c r="C437" s="1">
        <v>44756</v>
      </c>
      <c r="D437" t="s">
        <v>59</v>
      </c>
      <c r="E437" t="s">
        <v>67</v>
      </c>
      <c r="F437">
        <v>72</v>
      </c>
      <c r="G437" t="s">
        <v>0</v>
      </c>
      <c r="H437" s="2">
        <v>10</v>
      </c>
      <c r="I437" s="3">
        <v>0.40646951216415605</v>
      </c>
      <c r="J437">
        <f>PRODUCT(Table3[[#This Row],[Price of One Product]],Table3[[#This Row],[No of Products in one Sale]])</f>
        <v>720</v>
      </c>
      <c r="K437" s="6">
        <f>Table3[[#This Row],[Actual Sale]]*(1-Table3[[#This Row],[Discount]])</f>
        <v>427.34195124180764</v>
      </c>
      <c r="L437" t="str">
        <f>TEXT(Table3[[#This Row],[Sale Date]],"dddd")</f>
        <v>Thursday</v>
      </c>
    </row>
    <row r="438" spans="1:12" x14ac:dyDescent="0.3">
      <c r="A438" t="s">
        <v>461</v>
      </c>
      <c r="B438" t="s">
        <v>51</v>
      </c>
      <c r="C438" s="1">
        <v>44744</v>
      </c>
      <c r="D438" t="s">
        <v>60</v>
      </c>
      <c r="E438" t="s">
        <v>66</v>
      </c>
      <c r="F438">
        <v>65</v>
      </c>
      <c r="G438" t="s">
        <v>1</v>
      </c>
      <c r="H438" s="2">
        <v>4</v>
      </c>
      <c r="I438" s="3">
        <v>0.45522048494031297</v>
      </c>
      <c r="J438">
        <f>PRODUCT(Table3[[#This Row],[Price of One Product]],Table3[[#This Row],[No of Products in one Sale]])</f>
        <v>260</v>
      </c>
      <c r="K438" s="6">
        <f>Table3[[#This Row],[Actual Sale]]*(1-Table3[[#This Row],[Discount]])</f>
        <v>141.64267391551863</v>
      </c>
      <c r="L438" t="str">
        <f>TEXT(Table3[[#This Row],[Sale Date]],"dddd")</f>
        <v>Saturday</v>
      </c>
    </row>
    <row r="439" spans="1:12" x14ac:dyDescent="0.3">
      <c r="A439" t="s">
        <v>462</v>
      </c>
      <c r="B439" t="s">
        <v>52</v>
      </c>
      <c r="C439" s="1">
        <v>44753</v>
      </c>
      <c r="D439" t="s">
        <v>61</v>
      </c>
      <c r="E439" t="s">
        <v>67</v>
      </c>
      <c r="F439">
        <v>250</v>
      </c>
      <c r="G439" t="s">
        <v>2</v>
      </c>
      <c r="H439" s="2">
        <v>3</v>
      </c>
      <c r="I439" s="3">
        <v>0.45514828780898176</v>
      </c>
      <c r="J439">
        <f>PRODUCT(Table3[[#This Row],[Price of One Product]],Table3[[#This Row],[No of Products in one Sale]])</f>
        <v>750</v>
      </c>
      <c r="K439" s="6">
        <f>Table3[[#This Row],[Actual Sale]]*(1-Table3[[#This Row],[Discount]])</f>
        <v>408.63878414326371</v>
      </c>
      <c r="L439" t="str">
        <f>TEXT(Table3[[#This Row],[Sale Date]],"dddd")</f>
        <v>Monday</v>
      </c>
    </row>
    <row r="440" spans="1:12" x14ac:dyDescent="0.3">
      <c r="A440" t="s">
        <v>463</v>
      </c>
      <c r="B440" t="s">
        <v>53</v>
      </c>
      <c r="C440" s="1">
        <v>44762</v>
      </c>
      <c r="D440" t="s">
        <v>62</v>
      </c>
      <c r="E440" t="s">
        <v>66</v>
      </c>
      <c r="F440">
        <v>130</v>
      </c>
      <c r="G440" t="s">
        <v>0</v>
      </c>
      <c r="H440" s="2">
        <v>2</v>
      </c>
      <c r="I440" s="3">
        <v>0.30126486834826394</v>
      </c>
      <c r="J440">
        <f>PRODUCT(Table3[[#This Row],[Price of One Product]],Table3[[#This Row],[No of Products in one Sale]])</f>
        <v>260</v>
      </c>
      <c r="K440" s="6">
        <f>Table3[[#This Row],[Actual Sale]]*(1-Table3[[#This Row],[Discount]])</f>
        <v>181.67113422945138</v>
      </c>
      <c r="L440" t="str">
        <f>TEXT(Table3[[#This Row],[Sale Date]],"dddd")</f>
        <v>Wednesday</v>
      </c>
    </row>
    <row r="441" spans="1:12" x14ac:dyDescent="0.3">
      <c r="A441" t="s">
        <v>464</v>
      </c>
      <c r="B441" t="s">
        <v>54</v>
      </c>
      <c r="C441" s="1">
        <v>44740</v>
      </c>
      <c r="D441" t="s">
        <v>63</v>
      </c>
      <c r="E441" t="s">
        <v>67</v>
      </c>
      <c r="F441">
        <v>60</v>
      </c>
      <c r="G441" t="s">
        <v>1</v>
      </c>
      <c r="H441" s="2">
        <v>4</v>
      </c>
      <c r="I441" s="3">
        <v>0.22886312078587356</v>
      </c>
      <c r="J441">
        <f>PRODUCT(Table3[[#This Row],[Price of One Product]],Table3[[#This Row],[No of Products in one Sale]])</f>
        <v>240</v>
      </c>
      <c r="K441" s="6">
        <f>Table3[[#This Row],[Actual Sale]]*(1-Table3[[#This Row],[Discount]])</f>
        <v>185.07285101139036</v>
      </c>
      <c r="L441" t="str">
        <f>TEXT(Table3[[#This Row],[Sale Date]],"dddd")</f>
        <v>Tuesday</v>
      </c>
    </row>
    <row r="442" spans="1:12" x14ac:dyDescent="0.3">
      <c r="A442" t="s">
        <v>465</v>
      </c>
      <c r="B442" t="s">
        <v>55</v>
      </c>
      <c r="C442" s="1">
        <v>44729</v>
      </c>
      <c r="D442" t="s">
        <v>59</v>
      </c>
      <c r="E442" t="s">
        <v>66</v>
      </c>
      <c r="F442">
        <v>72</v>
      </c>
      <c r="G442" t="s">
        <v>2</v>
      </c>
      <c r="H442" s="2">
        <v>4</v>
      </c>
      <c r="I442" s="3">
        <v>0.4885587902090005</v>
      </c>
      <c r="J442">
        <f>PRODUCT(Table3[[#This Row],[Price of One Product]],Table3[[#This Row],[No of Products in one Sale]])</f>
        <v>288</v>
      </c>
      <c r="K442" s="6">
        <f>Table3[[#This Row],[Actual Sale]]*(1-Table3[[#This Row],[Discount]])</f>
        <v>147.29506841980785</v>
      </c>
      <c r="L442" t="str">
        <f>TEXT(Table3[[#This Row],[Sale Date]],"dddd")</f>
        <v>Friday</v>
      </c>
    </row>
    <row r="443" spans="1:12" x14ac:dyDescent="0.3">
      <c r="A443" t="s">
        <v>466</v>
      </c>
      <c r="B443" t="s">
        <v>51</v>
      </c>
      <c r="C443" s="1">
        <v>44727</v>
      </c>
      <c r="D443" t="s">
        <v>60</v>
      </c>
      <c r="E443" t="s">
        <v>67</v>
      </c>
      <c r="F443">
        <v>65</v>
      </c>
      <c r="G443" t="s">
        <v>0</v>
      </c>
      <c r="H443" s="2">
        <v>7</v>
      </c>
      <c r="I443" s="3">
        <v>0.88301012782394861</v>
      </c>
      <c r="J443">
        <f>PRODUCT(Table3[[#This Row],[Price of One Product]],Table3[[#This Row],[No of Products in one Sale]])</f>
        <v>455</v>
      </c>
      <c r="K443" s="6">
        <f>Table3[[#This Row],[Actual Sale]]*(1-Table3[[#This Row],[Discount]])</f>
        <v>53.23039184010338</v>
      </c>
      <c r="L443" t="str">
        <f>TEXT(Table3[[#This Row],[Sale Date]],"dddd")</f>
        <v>Wednesday</v>
      </c>
    </row>
    <row r="444" spans="1:12" x14ac:dyDescent="0.3">
      <c r="A444" t="s">
        <v>467</v>
      </c>
      <c r="B444" t="s">
        <v>52</v>
      </c>
      <c r="C444" s="1">
        <v>44734</v>
      </c>
      <c r="D444" t="s">
        <v>61</v>
      </c>
      <c r="E444" t="s">
        <v>66</v>
      </c>
      <c r="F444">
        <v>250</v>
      </c>
      <c r="G444" t="s">
        <v>1</v>
      </c>
      <c r="H444" s="2">
        <v>2</v>
      </c>
      <c r="I444" s="3">
        <v>0.30705024398286174</v>
      </c>
      <c r="J444">
        <f>PRODUCT(Table3[[#This Row],[Price of One Product]],Table3[[#This Row],[No of Products in one Sale]])</f>
        <v>500</v>
      </c>
      <c r="K444" s="6">
        <f>Table3[[#This Row],[Actual Sale]]*(1-Table3[[#This Row],[Discount]])</f>
        <v>346.47487800856914</v>
      </c>
      <c r="L444" t="str">
        <f>TEXT(Table3[[#This Row],[Sale Date]],"dddd")</f>
        <v>Wednesday</v>
      </c>
    </row>
    <row r="445" spans="1:12" x14ac:dyDescent="0.3">
      <c r="A445" t="s">
        <v>468</v>
      </c>
      <c r="B445" t="s">
        <v>53</v>
      </c>
      <c r="C445" s="1">
        <v>44744</v>
      </c>
      <c r="D445" t="s">
        <v>62</v>
      </c>
      <c r="E445" t="s">
        <v>67</v>
      </c>
      <c r="F445">
        <v>130</v>
      </c>
      <c r="G445" t="s">
        <v>2</v>
      </c>
      <c r="H445" s="2">
        <v>6</v>
      </c>
      <c r="I445" s="3">
        <v>0.85704939563753491</v>
      </c>
      <c r="J445">
        <f>PRODUCT(Table3[[#This Row],[Price of One Product]],Table3[[#This Row],[No of Products in one Sale]])</f>
        <v>780</v>
      </c>
      <c r="K445" s="6">
        <f>Table3[[#This Row],[Actual Sale]]*(1-Table3[[#This Row],[Discount]])</f>
        <v>111.50147140272277</v>
      </c>
      <c r="L445" t="str">
        <f>TEXT(Table3[[#This Row],[Sale Date]],"dddd")</f>
        <v>Saturday</v>
      </c>
    </row>
    <row r="446" spans="1:12" x14ac:dyDescent="0.3">
      <c r="A446" t="s">
        <v>469</v>
      </c>
      <c r="B446" t="s">
        <v>54</v>
      </c>
      <c r="C446" s="1">
        <v>44737</v>
      </c>
      <c r="D446" t="s">
        <v>59</v>
      </c>
      <c r="E446" t="s">
        <v>66</v>
      </c>
      <c r="F446">
        <v>72</v>
      </c>
      <c r="G446" t="s">
        <v>0</v>
      </c>
      <c r="H446" s="2">
        <v>9</v>
      </c>
      <c r="I446" s="3">
        <v>0.29159802445516347</v>
      </c>
      <c r="J446">
        <f>PRODUCT(Table3[[#This Row],[Price of One Product]],Table3[[#This Row],[No of Products in one Sale]])</f>
        <v>648</v>
      </c>
      <c r="K446" s="6">
        <f>Table3[[#This Row],[Actual Sale]]*(1-Table3[[#This Row],[Discount]])</f>
        <v>459.04448015305405</v>
      </c>
      <c r="L446" t="str">
        <f>TEXT(Table3[[#This Row],[Sale Date]],"dddd")</f>
        <v>Saturday</v>
      </c>
    </row>
    <row r="447" spans="1:12" x14ac:dyDescent="0.3">
      <c r="A447" t="s">
        <v>470</v>
      </c>
      <c r="B447" t="s">
        <v>51</v>
      </c>
      <c r="C447" s="1">
        <v>44752</v>
      </c>
      <c r="D447" t="s">
        <v>60</v>
      </c>
      <c r="E447" t="s">
        <v>67</v>
      </c>
      <c r="F447">
        <v>65</v>
      </c>
      <c r="G447" t="s">
        <v>1</v>
      </c>
      <c r="H447" s="2">
        <v>9</v>
      </c>
      <c r="I447" s="3">
        <v>0.2589445683285162</v>
      </c>
      <c r="J447">
        <f>PRODUCT(Table3[[#This Row],[Price of One Product]],Table3[[#This Row],[No of Products in one Sale]])</f>
        <v>585</v>
      </c>
      <c r="K447" s="6">
        <f>Table3[[#This Row],[Actual Sale]]*(1-Table3[[#This Row],[Discount]])</f>
        <v>433.51742752781803</v>
      </c>
      <c r="L447" t="str">
        <f>TEXT(Table3[[#This Row],[Sale Date]],"dddd")</f>
        <v>Sunday</v>
      </c>
    </row>
    <row r="448" spans="1:12" x14ac:dyDescent="0.3">
      <c r="A448" t="s">
        <v>471</v>
      </c>
      <c r="B448" t="s">
        <v>52</v>
      </c>
      <c r="C448" s="1">
        <v>44736</v>
      </c>
      <c r="D448" t="s">
        <v>61</v>
      </c>
      <c r="E448" t="s">
        <v>66</v>
      </c>
      <c r="F448">
        <v>250</v>
      </c>
      <c r="G448" t="s">
        <v>2</v>
      </c>
      <c r="H448" s="2">
        <v>2</v>
      </c>
      <c r="I448" s="3">
        <v>0.2954209948681138</v>
      </c>
      <c r="J448">
        <f>PRODUCT(Table3[[#This Row],[Price of One Product]],Table3[[#This Row],[No of Products in one Sale]])</f>
        <v>500</v>
      </c>
      <c r="K448" s="6">
        <f>Table3[[#This Row],[Actual Sale]]*(1-Table3[[#This Row],[Discount]])</f>
        <v>352.28950256594311</v>
      </c>
      <c r="L448" t="str">
        <f>TEXT(Table3[[#This Row],[Sale Date]],"dddd")</f>
        <v>Friday</v>
      </c>
    </row>
    <row r="449" spans="1:12" x14ac:dyDescent="0.3">
      <c r="A449" t="s">
        <v>472</v>
      </c>
      <c r="B449" t="s">
        <v>53</v>
      </c>
      <c r="C449" s="1">
        <v>44752</v>
      </c>
      <c r="D449" t="s">
        <v>62</v>
      </c>
      <c r="E449" t="s">
        <v>67</v>
      </c>
      <c r="F449">
        <v>130</v>
      </c>
      <c r="G449" t="s">
        <v>0</v>
      </c>
      <c r="H449" s="2">
        <v>2</v>
      </c>
      <c r="I449" s="3">
        <v>7.4202009604403041E-2</v>
      </c>
      <c r="J449">
        <f>PRODUCT(Table3[[#This Row],[Price of One Product]],Table3[[#This Row],[No of Products in one Sale]])</f>
        <v>260</v>
      </c>
      <c r="K449" s="6">
        <f>Table3[[#This Row],[Actual Sale]]*(1-Table3[[#This Row],[Discount]])</f>
        <v>240.7074775028552</v>
      </c>
      <c r="L449" t="str">
        <f>TEXT(Table3[[#This Row],[Sale Date]],"dddd")</f>
        <v>Sunday</v>
      </c>
    </row>
    <row r="450" spans="1:12" x14ac:dyDescent="0.3">
      <c r="A450" t="s">
        <v>473</v>
      </c>
      <c r="B450" t="s">
        <v>54</v>
      </c>
      <c r="C450" s="1">
        <v>44759</v>
      </c>
      <c r="D450" t="s">
        <v>63</v>
      </c>
      <c r="E450" t="s">
        <v>66</v>
      </c>
      <c r="F450">
        <v>60</v>
      </c>
      <c r="G450" t="s">
        <v>1</v>
      </c>
      <c r="H450" s="2">
        <v>11</v>
      </c>
      <c r="I450" s="3">
        <v>3.9067003401354383E-2</v>
      </c>
      <c r="J450">
        <f>PRODUCT(Table3[[#This Row],[Price of One Product]],Table3[[#This Row],[No of Products in one Sale]])</f>
        <v>660</v>
      </c>
      <c r="K450" s="6">
        <f>Table3[[#This Row],[Actual Sale]]*(1-Table3[[#This Row],[Discount]])</f>
        <v>634.21577775510616</v>
      </c>
      <c r="L450" t="str">
        <f>TEXT(Table3[[#This Row],[Sale Date]],"dddd")</f>
        <v>Sunday</v>
      </c>
    </row>
    <row r="451" spans="1:12" x14ac:dyDescent="0.3">
      <c r="A451" t="s">
        <v>474</v>
      </c>
      <c r="B451" t="s">
        <v>55</v>
      </c>
      <c r="C451" s="1">
        <v>44763</v>
      </c>
      <c r="D451" t="s">
        <v>64</v>
      </c>
      <c r="E451" t="s">
        <v>67</v>
      </c>
      <c r="F451">
        <v>95</v>
      </c>
      <c r="G451" t="s">
        <v>2</v>
      </c>
      <c r="H451" s="2">
        <v>4</v>
      </c>
      <c r="I451" s="3">
        <v>0.76468504660372305</v>
      </c>
      <c r="J451">
        <f>PRODUCT(Table3[[#This Row],[Price of One Product]],Table3[[#This Row],[No of Products in one Sale]])</f>
        <v>380</v>
      </c>
      <c r="K451" s="6">
        <f>Table3[[#This Row],[Actual Sale]]*(1-Table3[[#This Row],[Discount]])</f>
        <v>89.419682290585243</v>
      </c>
      <c r="L451" t="str">
        <f>TEXT(Table3[[#This Row],[Sale Date]],"dddd")</f>
        <v>Thursday</v>
      </c>
    </row>
    <row r="452" spans="1:12" x14ac:dyDescent="0.3">
      <c r="A452" t="s">
        <v>475</v>
      </c>
      <c r="B452" t="s">
        <v>56</v>
      </c>
      <c r="C452" s="1">
        <v>44763</v>
      </c>
      <c r="D452" t="s">
        <v>59</v>
      </c>
      <c r="E452" t="s">
        <v>66</v>
      </c>
      <c r="F452">
        <v>72</v>
      </c>
      <c r="G452" t="s">
        <v>0</v>
      </c>
      <c r="H452" s="2">
        <v>11</v>
      </c>
      <c r="I452" s="3">
        <v>0.74867480539232067</v>
      </c>
      <c r="J452">
        <f>PRODUCT(Table3[[#This Row],[Price of One Product]],Table3[[#This Row],[No of Products in one Sale]])</f>
        <v>792</v>
      </c>
      <c r="K452" s="6">
        <f>Table3[[#This Row],[Actual Sale]]*(1-Table3[[#This Row],[Discount]])</f>
        <v>199.04955412928203</v>
      </c>
      <c r="L452" t="str">
        <f>TEXT(Table3[[#This Row],[Sale Date]],"dddd")</f>
        <v>Thursday</v>
      </c>
    </row>
    <row r="453" spans="1:12" x14ac:dyDescent="0.3">
      <c r="A453" t="s">
        <v>476</v>
      </c>
      <c r="B453" t="s">
        <v>51</v>
      </c>
      <c r="C453" s="1">
        <v>44750</v>
      </c>
      <c r="D453" t="s">
        <v>60</v>
      </c>
      <c r="E453" t="s">
        <v>67</v>
      </c>
      <c r="F453">
        <v>65</v>
      </c>
      <c r="G453" t="s">
        <v>1</v>
      </c>
      <c r="H453" s="2">
        <v>6</v>
      </c>
      <c r="I453" s="3">
        <v>0.69300939202757139</v>
      </c>
      <c r="J453">
        <f>PRODUCT(Table3[[#This Row],[Price of One Product]],Table3[[#This Row],[No of Products in one Sale]])</f>
        <v>390</v>
      </c>
      <c r="K453" s="6">
        <f>Table3[[#This Row],[Actual Sale]]*(1-Table3[[#This Row],[Discount]])</f>
        <v>119.72633710924715</v>
      </c>
      <c r="L453" t="str">
        <f>TEXT(Table3[[#This Row],[Sale Date]],"dddd")</f>
        <v>Friday</v>
      </c>
    </row>
    <row r="454" spans="1:12" x14ac:dyDescent="0.3">
      <c r="A454" t="s">
        <v>477</v>
      </c>
      <c r="B454" t="s">
        <v>52</v>
      </c>
      <c r="C454" s="1">
        <v>44751</v>
      </c>
      <c r="D454" t="s">
        <v>61</v>
      </c>
      <c r="E454" t="s">
        <v>66</v>
      </c>
      <c r="F454">
        <v>250</v>
      </c>
      <c r="G454" t="s">
        <v>2</v>
      </c>
      <c r="H454" s="2">
        <v>1</v>
      </c>
      <c r="I454" s="3">
        <v>0.52937391222103747</v>
      </c>
      <c r="J454">
        <f>PRODUCT(Table3[[#This Row],[Price of One Product]],Table3[[#This Row],[No of Products in one Sale]])</f>
        <v>250</v>
      </c>
      <c r="K454" s="6">
        <f>Table3[[#This Row],[Actual Sale]]*(1-Table3[[#This Row],[Discount]])</f>
        <v>117.65652194474063</v>
      </c>
      <c r="L454" t="str">
        <f>TEXT(Table3[[#This Row],[Sale Date]],"dddd")</f>
        <v>Saturday</v>
      </c>
    </row>
    <row r="455" spans="1:12" x14ac:dyDescent="0.3">
      <c r="A455" t="s">
        <v>478</v>
      </c>
      <c r="B455" t="s">
        <v>53</v>
      </c>
      <c r="C455" s="1">
        <v>44736</v>
      </c>
      <c r="D455" t="s">
        <v>62</v>
      </c>
      <c r="E455" t="s">
        <v>67</v>
      </c>
      <c r="F455">
        <v>130</v>
      </c>
      <c r="G455" t="s">
        <v>0</v>
      </c>
      <c r="H455" s="2">
        <v>3</v>
      </c>
      <c r="I455" s="3">
        <v>0.32413514859934134</v>
      </c>
      <c r="J455">
        <f>PRODUCT(Table3[[#This Row],[Price of One Product]],Table3[[#This Row],[No of Products in one Sale]])</f>
        <v>390</v>
      </c>
      <c r="K455" s="6">
        <f>Table3[[#This Row],[Actual Sale]]*(1-Table3[[#This Row],[Discount]])</f>
        <v>263.58729204625689</v>
      </c>
      <c r="L455" t="str">
        <f>TEXT(Table3[[#This Row],[Sale Date]],"dddd")</f>
        <v>Friday</v>
      </c>
    </row>
    <row r="456" spans="1:12" x14ac:dyDescent="0.3">
      <c r="A456" t="s">
        <v>479</v>
      </c>
      <c r="B456" t="s">
        <v>54</v>
      </c>
      <c r="C456" s="1">
        <v>44737</v>
      </c>
      <c r="D456" t="s">
        <v>59</v>
      </c>
      <c r="E456" t="s">
        <v>67</v>
      </c>
      <c r="F456">
        <v>72</v>
      </c>
      <c r="G456" t="s">
        <v>1</v>
      </c>
      <c r="H456" s="2">
        <v>4</v>
      </c>
      <c r="I456" s="3">
        <v>0.35907775149399723</v>
      </c>
      <c r="J456">
        <f>PRODUCT(Table3[[#This Row],[Price of One Product]],Table3[[#This Row],[No of Products in one Sale]])</f>
        <v>288</v>
      </c>
      <c r="K456" s="6">
        <f>Table3[[#This Row],[Actual Sale]]*(1-Table3[[#This Row],[Discount]])</f>
        <v>184.58560756972881</v>
      </c>
      <c r="L456" t="str">
        <f>TEXT(Table3[[#This Row],[Sale Date]],"dddd")</f>
        <v>Saturday</v>
      </c>
    </row>
    <row r="457" spans="1:12" x14ac:dyDescent="0.3">
      <c r="A457" t="s">
        <v>480</v>
      </c>
      <c r="B457" t="s">
        <v>51</v>
      </c>
      <c r="C457" s="1">
        <v>44744</v>
      </c>
      <c r="D457" t="s">
        <v>60</v>
      </c>
      <c r="E457" t="s">
        <v>67</v>
      </c>
      <c r="F457">
        <v>65</v>
      </c>
      <c r="G457" t="s">
        <v>2</v>
      </c>
      <c r="H457" s="2">
        <v>6</v>
      </c>
      <c r="I457" s="3">
        <v>0.65908590258865696</v>
      </c>
      <c r="J457">
        <f>PRODUCT(Table3[[#This Row],[Price of One Product]],Table3[[#This Row],[No of Products in one Sale]])</f>
        <v>390</v>
      </c>
      <c r="K457" s="6">
        <f>Table3[[#This Row],[Actual Sale]]*(1-Table3[[#This Row],[Discount]])</f>
        <v>132.9564979904238</v>
      </c>
      <c r="L457" t="str">
        <f>TEXT(Table3[[#This Row],[Sale Date]],"dddd")</f>
        <v>Saturday</v>
      </c>
    </row>
    <row r="458" spans="1:12" x14ac:dyDescent="0.3">
      <c r="A458" t="s">
        <v>481</v>
      </c>
      <c r="B458" t="s">
        <v>52</v>
      </c>
      <c r="C458" s="1">
        <v>44735</v>
      </c>
      <c r="D458" t="s">
        <v>61</v>
      </c>
      <c r="E458" t="s">
        <v>67</v>
      </c>
      <c r="F458">
        <v>250</v>
      </c>
      <c r="G458" t="s">
        <v>0</v>
      </c>
      <c r="H458" s="2">
        <v>2</v>
      </c>
      <c r="I458" s="3">
        <v>0.51385178684784039</v>
      </c>
      <c r="J458">
        <f>PRODUCT(Table3[[#This Row],[Price of One Product]],Table3[[#This Row],[No of Products in one Sale]])</f>
        <v>500</v>
      </c>
      <c r="K458" s="6">
        <f>Table3[[#This Row],[Actual Sale]]*(1-Table3[[#This Row],[Discount]])</f>
        <v>243.0741065760798</v>
      </c>
      <c r="L458" t="str">
        <f>TEXT(Table3[[#This Row],[Sale Date]],"dddd")</f>
        <v>Thursday</v>
      </c>
    </row>
    <row r="459" spans="1:12" x14ac:dyDescent="0.3">
      <c r="A459" t="s">
        <v>482</v>
      </c>
      <c r="B459" t="s">
        <v>53</v>
      </c>
      <c r="C459" s="1">
        <v>44751</v>
      </c>
      <c r="D459" t="s">
        <v>62</v>
      </c>
      <c r="E459" t="s">
        <v>67</v>
      </c>
      <c r="F459">
        <v>130</v>
      </c>
      <c r="G459" t="s">
        <v>1</v>
      </c>
      <c r="H459" s="2">
        <v>4</v>
      </c>
      <c r="I459" s="3">
        <v>0.76665009072072687</v>
      </c>
      <c r="J459">
        <f>PRODUCT(Table3[[#This Row],[Price of One Product]],Table3[[#This Row],[No of Products in one Sale]])</f>
        <v>520</v>
      </c>
      <c r="K459" s="6">
        <f>Table3[[#This Row],[Actual Sale]]*(1-Table3[[#This Row],[Discount]])</f>
        <v>121.34195282522202</v>
      </c>
      <c r="L459" t="str">
        <f>TEXT(Table3[[#This Row],[Sale Date]],"dddd")</f>
        <v>Saturday</v>
      </c>
    </row>
    <row r="460" spans="1:12" x14ac:dyDescent="0.3">
      <c r="A460" t="s">
        <v>483</v>
      </c>
      <c r="B460" t="s">
        <v>54</v>
      </c>
      <c r="C460" s="1">
        <v>44726</v>
      </c>
      <c r="D460" t="s">
        <v>59</v>
      </c>
      <c r="E460" t="s">
        <v>66</v>
      </c>
      <c r="F460">
        <v>72</v>
      </c>
      <c r="G460" t="s">
        <v>2</v>
      </c>
      <c r="H460" s="2">
        <v>5</v>
      </c>
      <c r="I460" s="3">
        <v>0.73529214203054083</v>
      </c>
      <c r="J460">
        <f>PRODUCT(Table3[[#This Row],[Price of One Product]],Table3[[#This Row],[No of Products in one Sale]])</f>
        <v>360</v>
      </c>
      <c r="K460" s="6">
        <f>Table3[[#This Row],[Actual Sale]]*(1-Table3[[#This Row],[Discount]])</f>
        <v>95.2948288690053</v>
      </c>
      <c r="L460" t="str">
        <f>TEXT(Table3[[#This Row],[Sale Date]],"dddd")</f>
        <v>Tuesday</v>
      </c>
    </row>
    <row r="461" spans="1:12" x14ac:dyDescent="0.3">
      <c r="A461" t="s">
        <v>484</v>
      </c>
      <c r="B461" t="s">
        <v>51</v>
      </c>
      <c r="C461" s="1">
        <v>44749</v>
      </c>
      <c r="D461" t="s">
        <v>60</v>
      </c>
      <c r="E461" t="s">
        <v>67</v>
      </c>
      <c r="F461">
        <v>65</v>
      </c>
      <c r="G461" t="s">
        <v>0</v>
      </c>
      <c r="H461" s="2">
        <v>9</v>
      </c>
      <c r="I461" s="3">
        <v>0.44567996518569519</v>
      </c>
      <c r="J461">
        <f>PRODUCT(Table3[[#This Row],[Price of One Product]],Table3[[#This Row],[No of Products in one Sale]])</f>
        <v>585</v>
      </c>
      <c r="K461" s="6">
        <f>Table3[[#This Row],[Actual Sale]]*(1-Table3[[#This Row],[Discount]])</f>
        <v>324.27722036636834</v>
      </c>
      <c r="L461" t="str">
        <f>TEXT(Table3[[#This Row],[Sale Date]],"dddd")</f>
        <v>Thursday</v>
      </c>
    </row>
    <row r="462" spans="1:12" x14ac:dyDescent="0.3">
      <c r="A462" t="s">
        <v>485</v>
      </c>
      <c r="B462" t="s">
        <v>52</v>
      </c>
      <c r="C462" s="1">
        <v>44734</v>
      </c>
      <c r="D462" t="s">
        <v>61</v>
      </c>
      <c r="E462" t="s">
        <v>66</v>
      </c>
      <c r="F462">
        <v>250</v>
      </c>
      <c r="G462" t="s">
        <v>0</v>
      </c>
      <c r="H462" s="2">
        <v>2</v>
      </c>
      <c r="I462" s="3">
        <v>0.80491760131950119</v>
      </c>
      <c r="J462">
        <f>PRODUCT(Table3[[#This Row],[Price of One Product]],Table3[[#This Row],[No of Products in one Sale]])</f>
        <v>500</v>
      </c>
      <c r="K462" s="6">
        <f>Table3[[#This Row],[Actual Sale]]*(1-Table3[[#This Row],[Discount]])</f>
        <v>97.541199340249406</v>
      </c>
      <c r="L462" t="str">
        <f>TEXT(Table3[[#This Row],[Sale Date]],"dddd")</f>
        <v>Wednesday</v>
      </c>
    </row>
    <row r="463" spans="1:12" x14ac:dyDescent="0.3">
      <c r="A463" t="s">
        <v>486</v>
      </c>
      <c r="B463" t="s">
        <v>53</v>
      </c>
      <c r="C463" s="1">
        <v>44726</v>
      </c>
      <c r="D463" t="s">
        <v>62</v>
      </c>
      <c r="E463" t="s">
        <v>67</v>
      </c>
      <c r="F463">
        <v>130</v>
      </c>
      <c r="G463" t="s">
        <v>1</v>
      </c>
      <c r="H463" s="2">
        <v>4</v>
      </c>
      <c r="I463" s="3">
        <v>0.63252724233750568</v>
      </c>
      <c r="J463">
        <f>PRODUCT(Table3[[#This Row],[Price of One Product]],Table3[[#This Row],[No of Products in one Sale]])</f>
        <v>520</v>
      </c>
      <c r="K463" s="6">
        <f>Table3[[#This Row],[Actual Sale]]*(1-Table3[[#This Row],[Discount]])</f>
        <v>191.08583398449704</v>
      </c>
      <c r="L463" t="str">
        <f>TEXT(Table3[[#This Row],[Sale Date]],"dddd")</f>
        <v>Tuesday</v>
      </c>
    </row>
    <row r="464" spans="1:12" x14ac:dyDescent="0.3">
      <c r="A464" t="s">
        <v>487</v>
      </c>
      <c r="B464" t="s">
        <v>54</v>
      </c>
      <c r="C464" s="1">
        <v>44743</v>
      </c>
      <c r="D464" t="s">
        <v>59</v>
      </c>
      <c r="E464" t="s">
        <v>66</v>
      </c>
      <c r="F464">
        <v>72</v>
      </c>
      <c r="G464" t="s">
        <v>2</v>
      </c>
      <c r="H464" s="2">
        <v>12</v>
      </c>
      <c r="I464" s="3">
        <v>0.54172415841062738</v>
      </c>
      <c r="J464">
        <f>PRODUCT(Table3[[#This Row],[Price of One Product]],Table3[[#This Row],[No of Products in one Sale]])</f>
        <v>864</v>
      </c>
      <c r="K464" s="6">
        <f>Table3[[#This Row],[Actual Sale]]*(1-Table3[[#This Row],[Discount]])</f>
        <v>395.95032713321797</v>
      </c>
      <c r="L464" t="str">
        <f>TEXT(Table3[[#This Row],[Sale Date]],"dddd")</f>
        <v>Friday</v>
      </c>
    </row>
    <row r="465" spans="1:12" x14ac:dyDescent="0.3">
      <c r="A465" t="s">
        <v>488</v>
      </c>
      <c r="B465" t="s">
        <v>51</v>
      </c>
      <c r="C465" s="1">
        <v>44742</v>
      </c>
      <c r="D465" t="s">
        <v>60</v>
      </c>
      <c r="E465" t="s">
        <v>67</v>
      </c>
      <c r="F465">
        <v>65</v>
      </c>
      <c r="G465" t="s">
        <v>0</v>
      </c>
      <c r="H465" s="2">
        <v>11</v>
      </c>
      <c r="I465" s="3">
        <v>0.51449622999670686</v>
      </c>
      <c r="J465">
        <f>PRODUCT(Table3[[#This Row],[Price of One Product]],Table3[[#This Row],[No of Products in one Sale]])</f>
        <v>715</v>
      </c>
      <c r="K465" s="6">
        <f>Table3[[#This Row],[Actual Sale]]*(1-Table3[[#This Row],[Discount]])</f>
        <v>347.13519555235462</v>
      </c>
      <c r="L465" t="str">
        <f>TEXT(Table3[[#This Row],[Sale Date]],"dddd")</f>
        <v>Thursday</v>
      </c>
    </row>
    <row r="466" spans="1:12" x14ac:dyDescent="0.3">
      <c r="A466" t="s">
        <v>489</v>
      </c>
      <c r="B466" t="s">
        <v>52</v>
      </c>
      <c r="C466" s="1">
        <v>44747</v>
      </c>
      <c r="D466" t="s">
        <v>61</v>
      </c>
      <c r="E466" t="s">
        <v>66</v>
      </c>
      <c r="F466">
        <v>250</v>
      </c>
      <c r="G466" t="s">
        <v>1</v>
      </c>
      <c r="H466" s="2">
        <v>2</v>
      </c>
      <c r="I466" s="3">
        <v>0.23752502847518697</v>
      </c>
      <c r="J466">
        <f>PRODUCT(Table3[[#This Row],[Price of One Product]],Table3[[#This Row],[No of Products in one Sale]])</f>
        <v>500</v>
      </c>
      <c r="K466" s="6">
        <f>Table3[[#This Row],[Actual Sale]]*(1-Table3[[#This Row],[Discount]])</f>
        <v>381.23748576240649</v>
      </c>
      <c r="L466" t="str">
        <f>TEXT(Table3[[#This Row],[Sale Date]],"dddd")</f>
        <v>Tuesday</v>
      </c>
    </row>
    <row r="467" spans="1:12" x14ac:dyDescent="0.3">
      <c r="A467" t="s">
        <v>490</v>
      </c>
      <c r="B467" t="s">
        <v>53</v>
      </c>
      <c r="C467" s="1">
        <v>44764</v>
      </c>
      <c r="D467" t="s">
        <v>62</v>
      </c>
      <c r="E467" t="s">
        <v>67</v>
      </c>
      <c r="F467">
        <v>130</v>
      </c>
      <c r="G467" t="s">
        <v>2</v>
      </c>
      <c r="H467" s="2">
        <v>4</v>
      </c>
      <c r="I467" s="3">
        <v>0.99120610081358274</v>
      </c>
      <c r="J467">
        <f>PRODUCT(Table3[[#This Row],[Price of One Product]],Table3[[#This Row],[No of Products in one Sale]])</f>
        <v>520</v>
      </c>
      <c r="K467" s="6">
        <f>Table3[[#This Row],[Actual Sale]]*(1-Table3[[#This Row],[Discount]])</f>
        <v>4.5728275769369775</v>
      </c>
      <c r="L467" t="str">
        <f>TEXT(Table3[[#This Row],[Sale Date]],"dddd")</f>
        <v>Friday</v>
      </c>
    </row>
    <row r="468" spans="1:12" x14ac:dyDescent="0.3">
      <c r="A468" t="s">
        <v>491</v>
      </c>
      <c r="B468" t="s">
        <v>54</v>
      </c>
      <c r="C468" s="1">
        <v>44735</v>
      </c>
      <c r="D468" t="s">
        <v>63</v>
      </c>
      <c r="E468" t="s">
        <v>66</v>
      </c>
      <c r="F468">
        <v>60</v>
      </c>
      <c r="G468" t="s">
        <v>0</v>
      </c>
      <c r="H468" s="2">
        <v>9</v>
      </c>
      <c r="I468" s="3">
        <v>0.59705890981846566</v>
      </c>
      <c r="J468">
        <f>PRODUCT(Table3[[#This Row],[Price of One Product]],Table3[[#This Row],[No of Products in one Sale]])</f>
        <v>540</v>
      </c>
      <c r="K468" s="6">
        <f>Table3[[#This Row],[Actual Sale]]*(1-Table3[[#This Row],[Discount]])</f>
        <v>217.58818869802855</v>
      </c>
      <c r="L468" t="str">
        <f>TEXT(Table3[[#This Row],[Sale Date]],"dddd")</f>
        <v>Thursday</v>
      </c>
    </row>
    <row r="469" spans="1:12" x14ac:dyDescent="0.3">
      <c r="A469" t="s">
        <v>492</v>
      </c>
      <c r="B469" t="s">
        <v>55</v>
      </c>
      <c r="C469" s="1">
        <v>44737</v>
      </c>
      <c r="D469" t="s">
        <v>59</v>
      </c>
      <c r="E469" t="s">
        <v>67</v>
      </c>
      <c r="F469">
        <v>72</v>
      </c>
      <c r="G469" t="s">
        <v>1</v>
      </c>
      <c r="H469" s="2">
        <v>3</v>
      </c>
      <c r="I469" s="3">
        <v>0.47137791834027587</v>
      </c>
      <c r="J469">
        <f>PRODUCT(Table3[[#This Row],[Price of One Product]],Table3[[#This Row],[No of Products in one Sale]])</f>
        <v>216</v>
      </c>
      <c r="K469" s="6">
        <f>Table3[[#This Row],[Actual Sale]]*(1-Table3[[#This Row],[Discount]])</f>
        <v>114.18236963850042</v>
      </c>
      <c r="L469" t="str">
        <f>TEXT(Table3[[#This Row],[Sale Date]],"dddd")</f>
        <v>Saturday</v>
      </c>
    </row>
    <row r="470" spans="1:12" x14ac:dyDescent="0.3">
      <c r="A470" t="s">
        <v>493</v>
      </c>
      <c r="B470" t="s">
        <v>51</v>
      </c>
      <c r="C470" s="1">
        <v>44749</v>
      </c>
      <c r="D470" t="s">
        <v>60</v>
      </c>
      <c r="E470" t="s">
        <v>66</v>
      </c>
      <c r="F470">
        <v>65</v>
      </c>
      <c r="G470" t="s">
        <v>2</v>
      </c>
      <c r="H470" s="2">
        <v>14</v>
      </c>
      <c r="I470" s="3">
        <v>0.41181740780767351</v>
      </c>
      <c r="J470">
        <f>PRODUCT(Table3[[#This Row],[Price of One Product]],Table3[[#This Row],[No of Products in one Sale]])</f>
        <v>910</v>
      </c>
      <c r="K470" s="6">
        <f>Table3[[#This Row],[Actual Sale]]*(1-Table3[[#This Row],[Discount]])</f>
        <v>535.24615889501706</v>
      </c>
      <c r="L470" t="str">
        <f>TEXT(Table3[[#This Row],[Sale Date]],"dddd")</f>
        <v>Thursday</v>
      </c>
    </row>
    <row r="471" spans="1:12" x14ac:dyDescent="0.3">
      <c r="A471" t="s">
        <v>494</v>
      </c>
      <c r="B471" t="s">
        <v>52</v>
      </c>
      <c r="C471" s="1">
        <v>44729</v>
      </c>
      <c r="D471" t="s">
        <v>61</v>
      </c>
      <c r="E471" t="s">
        <v>67</v>
      </c>
      <c r="F471">
        <v>250</v>
      </c>
      <c r="G471" t="s">
        <v>0</v>
      </c>
      <c r="H471" s="2">
        <v>3</v>
      </c>
      <c r="I471" s="3">
        <v>7.2014892327985192E-2</v>
      </c>
      <c r="J471">
        <f>PRODUCT(Table3[[#This Row],[Price of One Product]],Table3[[#This Row],[No of Products in one Sale]])</f>
        <v>750</v>
      </c>
      <c r="K471" s="6">
        <f>Table3[[#This Row],[Actual Sale]]*(1-Table3[[#This Row],[Discount]])</f>
        <v>695.98883075401113</v>
      </c>
      <c r="L471" t="str">
        <f>TEXT(Table3[[#This Row],[Sale Date]],"dddd")</f>
        <v>Friday</v>
      </c>
    </row>
    <row r="472" spans="1:12" x14ac:dyDescent="0.3">
      <c r="A472" t="s">
        <v>495</v>
      </c>
      <c r="B472" t="s">
        <v>53</v>
      </c>
      <c r="C472" s="1">
        <v>44738</v>
      </c>
      <c r="D472" t="s">
        <v>62</v>
      </c>
      <c r="E472" t="s">
        <v>66</v>
      </c>
      <c r="F472">
        <v>130</v>
      </c>
      <c r="G472" t="s">
        <v>1</v>
      </c>
      <c r="H472" s="2">
        <v>7</v>
      </c>
      <c r="I472" s="3">
        <v>0.28425228592980878</v>
      </c>
      <c r="J472">
        <f>PRODUCT(Table3[[#This Row],[Price of One Product]],Table3[[#This Row],[No of Products in one Sale]])</f>
        <v>910</v>
      </c>
      <c r="K472" s="6">
        <f>Table3[[#This Row],[Actual Sale]]*(1-Table3[[#This Row],[Discount]])</f>
        <v>651.33041980387407</v>
      </c>
      <c r="L472" t="str">
        <f>TEXT(Table3[[#This Row],[Sale Date]],"dddd")</f>
        <v>Sunday</v>
      </c>
    </row>
    <row r="473" spans="1:12" x14ac:dyDescent="0.3">
      <c r="A473" t="s">
        <v>496</v>
      </c>
      <c r="B473" t="s">
        <v>54</v>
      </c>
      <c r="C473" s="1">
        <v>44740</v>
      </c>
      <c r="D473" t="s">
        <v>59</v>
      </c>
      <c r="E473" t="s">
        <v>67</v>
      </c>
      <c r="F473">
        <v>72</v>
      </c>
      <c r="G473" t="s">
        <v>2</v>
      </c>
      <c r="H473" s="2">
        <v>3</v>
      </c>
      <c r="I473" s="3">
        <v>0.51473636278960266</v>
      </c>
      <c r="J473">
        <f>PRODUCT(Table3[[#This Row],[Price of One Product]],Table3[[#This Row],[No of Products in one Sale]])</f>
        <v>216</v>
      </c>
      <c r="K473" s="6">
        <f>Table3[[#This Row],[Actual Sale]]*(1-Table3[[#This Row],[Discount]])</f>
        <v>104.81694563744583</v>
      </c>
      <c r="L473" t="str">
        <f>TEXT(Table3[[#This Row],[Sale Date]],"dddd")</f>
        <v>Tuesday</v>
      </c>
    </row>
    <row r="474" spans="1:12" x14ac:dyDescent="0.3">
      <c r="A474" t="s">
        <v>497</v>
      </c>
      <c r="B474" t="s">
        <v>51</v>
      </c>
      <c r="C474" s="1">
        <v>44755</v>
      </c>
      <c r="D474" t="s">
        <v>60</v>
      </c>
      <c r="E474" t="s">
        <v>66</v>
      </c>
      <c r="F474">
        <v>65</v>
      </c>
      <c r="G474" t="s">
        <v>0</v>
      </c>
      <c r="H474" s="2">
        <v>7</v>
      </c>
      <c r="I474" s="3">
        <v>0.84360853679959769</v>
      </c>
      <c r="J474">
        <f>PRODUCT(Table3[[#This Row],[Price of One Product]],Table3[[#This Row],[No of Products in one Sale]])</f>
        <v>455</v>
      </c>
      <c r="K474" s="6">
        <f>Table3[[#This Row],[Actual Sale]]*(1-Table3[[#This Row],[Discount]])</f>
        <v>71.158115756183051</v>
      </c>
      <c r="L474" t="str">
        <f>TEXT(Table3[[#This Row],[Sale Date]],"dddd")</f>
        <v>Wednesday</v>
      </c>
    </row>
    <row r="475" spans="1:12" x14ac:dyDescent="0.3">
      <c r="A475" t="s">
        <v>498</v>
      </c>
      <c r="B475" t="s">
        <v>52</v>
      </c>
      <c r="C475" s="1">
        <v>44755</v>
      </c>
      <c r="D475" t="s">
        <v>61</v>
      </c>
      <c r="E475" t="s">
        <v>67</v>
      </c>
      <c r="F475">
        <v>250</v>
      </c>
      <c r="G475" t="s">
        <v>1</v>
      </c>
      <c r="H475" s="2">
        <v>3</v>
      </c>
      <c r="I475" s="3">
        <v>0.79410595242208182</v>
      </c>
      <c r="J475">
        <f>PRODUCT(Table3[[#This Row],[Price of One Product]],Table3[[#This Row],[No of Products in one Sale]])</f>
        <v>750</v>
      </c>
      <c r="K475" s="6">
        <f>Table3[[#This Row],[Actual Sale]]*(1-Table3[[#This Row],[Discount]])</f>
        <v>154.42053568343863</v>
      </c>
      <c r="L475" t="str">
        <f>TEXT(Table3[[#This Row],[Sale Date]],"dddd")</f>
        <v>Wednesday</v>
      </c>
    </row>
    <row r="476" spans="1:12" x14ac:dyDescent="0.3">
      <c r="A476" t="s">
        <v>499</v>
      </c>
      <c r="B476" t="s">
        <v>53</v>
      </c>
      <c r="C476" s="1">
        <v>44764</v>
      </c>
      <c r="D476" t="s">
        <v>62</v>
      </c>
      <c r="E476" t="s">
        <v>66</v>
      </c>
      <c r="F476">
        <v>130</v>
      </c>
      <c r="G476" t="s">
        <v>2</v>
      </c>
      <c r="H476" s="2">
        <v>4</v>
      </c>
      <c r="I476" s="3">
        <v>0.43743103077150813</v>
      </c>
      <c r="J476">
        <f>PRODUCT(Table3[[#This Row],[Price of One Product]],Table3[[#This Row],[No of Products in one Sale]])</f>
        <v>520</v>
      </c>
      <c r="K476" s="6">
        <f>Table3[[#This Row],[Actual Sale]]*(1-Table3[[#This Row],[Discount]])</f>
        <v>292.53586399881578</v>
      </c>
      <c r="L476" t="str">
        <f>TEXT(Table3[[#This Row],[Sale Date]],"dddd")</f>
        <v>Friday</v>
      </c>
    </row>
    <row r="477" spans="1:12" x14ac:dyDescent="0.3">
      <c r="A477" t="s">
        <v>500</v>
      </c>
      <c r="B477" t="s">
        <v>54</v>
      </c>
      <c r="C477" s="1">
        <v>44735</v>
      </c>
      <c r="D477" t="s">
        <v>63</v>
      </c>
      <c r="E477" t="s">
        <v>67</v>
      </c>
      <c r="F477">
        <v>60</v>
      </c>
      <c r="G477" t="s">
        <v>0</v>
      </c>
      <c r="H477" s="2">
        <v>7</v>
      </c>
      <c r="I477" s="3">
        <v>0.62414285851347806</v>
      </c>
      <c r="J477">
        <f>PRODUCT(Table3[[#This Row],[Price of One Product]],Table3[[#This Row],[No of Products in one Sale]])</f>
        <v>420</v>
      </c>
      <c r="K477" s="6">
        <f>Table3[[#This Row],[Actual Sale]]*(1-Table3[[#This Row],[Discount]])</f>
        <v>157.85999942433921</v>
      </c>
      <c r="L477" t="str">
        <f>TEXT(Table3[[#This Row],[Sale Date]],"dddd")</f>
        <v>Thursday</v>
      </c>
    </row>
    <row r="478" spans="1:12" x14ac:dyDescent="0.3">
      <c r="A478" t="s">
        <v>501</v>
      </c>
      <c r="B478" t="s">
        <v>55</v>
      </c>
      <c r="C478" s="1">
        <v>44734</v>
      </c>
      <c r="D478" t="s">
        <v>64</v>
      </c>
      <c r="E478" t="s">
        <v>67</v>
      </c>
      <c r="F478">
        <v>95</v>
      </c>
      <c r="G478" t="s">
        <v>1</v>
      </c>
      <c r="H478" s="2">
        <v>4</v>
      </c>
      <c r="I478" s="3">
        <v>0.8866455913476804</v>
      </c>
      <c r="J478">
        <f>PRODUCT(Table3[[#This Row],[Price of One Product]],Table3[[#This Row],[No of Products in one Sale]])</f>
        <v>380</v>
      </c>
      <c r="K478" s="6">
        <f>Table3[[#This Row],[Actual Sale]]*(1-Table3[[#This Row],[Discount]])</f>
        <v>43.074675287881448</v>
      </c>
      <c r="L478" t="str">
        <f>TEXT(Table3[[#This Row],[Sale Date]],"dddd")</f>
        <v>Wednesday</v>
      </c>
    </row>
    <row r="479" spans="1:12" x14ac:dyDescent="0.3">
      <c r="A479" t="s">
        <v>502</v>
      </c>
      <c r="B479" t="s">
        <v>56</v>
      </c>
      <c r="C479" s="1">
        <v>44728</v>
      </c>
      <c r="D479" t="s">
        <v>59</v>
      </c>
      <c r="E479" t="s">
        <v>67</v>
      </c>
      <c r="F479">
        <v>72</v>
      </c>
      <c r="G479" t="s">
        <v>2</v>
      </c>
      <c r="H479" s="2">
        <v>6</v>
      </c>
      <c r="I479" s="3">
        <v>0.18359273290431566</v>
      </c>
      <c r="J479">
        <f>PRODUCT(Table3[[#This Row],[Price of One Product]],Table3[[#This Row],[No of Products in one Sale]])</f>
        <v>432</v>
      </c>
      <c r="K479" s="6">
        <f>Table3[[#This Row],[Actual Sale]]*(1-Table3[[#This Row],[Discount]])</f>
        <v>352.68793938533565</v>
      </c>
      <c r="L479" t="str">
        <f>TEXT(Table3[[#This Row],[Sale Date]],"dddd")</f>
        <v>Thursday</v>
      </c>
    </row>
    <row r="480" spans="1:12" x14ac:dyDescent="0.3">
      <c r="A480" t="s">
        <v>503</v>
      </c>
      <c r="B480" t="s">
        <v>51</v>
      </c>
      <c r="C480" s="1">
        <v>44739</v>
      </c>
      <c r="D480" t="s">
        <v>60</v>
      </c>
      <c r="E480" t="s">
        <v>67</v>
      </c>
      <c r="F480">
        <v>65</v>
      </c>
      <c r="G480" t="s">
        <v>0</v>
      </c>
      <c r="H480" s="2">
        <v>5</v>
      </c>
      <c r="I480" s="3">
        <v>0.15906506531321729</v>
      </c>
      <c r="J480">
        <f>PRODUCT(Table3[[#This Row],[Price of One Product]],Table3[[#This Row],[No of Products in one Sale]])</f>
        <v>325</v>
      </c>
      <c r="K480" s="6">
        <f>Table3[[#This Row],[Actual Sale]]*(1-Table3[[#This Row],[Discount]])</f>
        <v>273.30385377320437</v>
      </c>
      <c r="L480" t="str">
        <f>TEXT(Table3[[#This Row],[Sale Date]],"dddd")</f>
        <v>Monday</v>
      </c>
    </row>
    <row r="481" spans="1:12" x14ac:dyDescent="0.3">
      <c r="A481" t="s">
        <v>504</v>
      </c>
      <c r="B481" t="s">
        <v>52</v>
      </c>
      <c r="C481" s="1">
        <v>44765</v>
      </c>
      <c r="D481" t="s">
        <v>61</v>
      </c>
      <c r="E481" t="s">
        <v>67</v>
      </c>
      <c r="F481">
        <v>250</v>
      </c>
      <c r="G481" t="s">
        <v>1</v>
      </c>
      <c r="H481" s="2">
        <v>2</v>
      </c>
      <c r="I481" s="3">
        <v>0.29466747014106187</v>
      </c>
      <c r="J481">
        <f>PRODUCT(Table3[[#This Row],[Price of One Product]],Table3[[#This Row],[No of Products in one Sale]])</f>
        <v>500</v>
      </c>
      <c r="K481" s="6">
        <f>Table3[[#This Row],[Actual Sale]]*(1-Table3[[#This Row],[Discount]])</f>
        <v>352.66626492946904</v>
      </c>
      <c r="L481" t="str">
        <f>TEXT(Table3[[#This Row],[Sale Date]],"dddd")</f>
        <v>Saturday</v>
      </c>
    </row>
    <row r="482" spans="1:12" x14ac:dyDescent="0.3">
      <c r="A482" t="s">
        <v>505</v>
      </c>
      <c r="B482" t="s">
        <v>53</v>
      </c>
      <c r="C482" s="1">
        <v>44740</v>
      </c>
      <c r="D482" t="s">
        <v>62</v>
      </c>
      <c r="E482" t="s">
        <v>66</v>
      </c>
      <c r="F482">
        <v>130</v>
      </c>
      <c r="G482" t="s">
        <v>2</v>
      </c>
      <c r="H482" s="2">
        <v>2</v>
      </c>
      <c r="I482" s="3">
        <v>0.35414118605930123</v>
      </c>
      <c r="J482">
        <f>PRODUCT(Table3[[#This Row],[Price of One Product]],Table3[[#This Row],[No of Products in one Sale]])</f>
        <v>260</v>
      </c>
      <c r="K482" s="6">
        <f>Table3[[#This Row],[Actual Sale]]*(1-Table3[[#This Row],[Discount]])</f>
        <v>167.92329162458168</v>
      </c>
      <c r="L482" t="str">
        <f>TEXT(Table3[[#This Row],[Sale Date]],"dddd")</f>
        <v>Tuesday</v>
      </c>
    </row>
    <row r="483" spans="1:12" x14ac:dyDescent="0.3">
      <c r="A483" t="s">
        <v>506</v>
      </c>
      <c r="B483" t="s">
        <v>54</v>
      </c>
      <c r="C483" s="1">
        <v>44734</v>
      </c>
      <c r="D483" t="s">
        <v>59</v>
      </c>
      <c r="E483" t="s">
        <v>67</v>
      </c>
      <c r="F483">
        <v>72</v>
      </c>
      <c r="G483" t="s">
        <v>0</v>
      </c>
      <c r="H483" s="2">
        <v>4</v>
      </c>
      <c r="I483" s="3">
        <v>0.40463831594750665</v>
      </c>
      <c r="J483">
        <f>PRODUCT(Table3[[#This Row],[Price of One Product]],Table3[[#This Row],[No of Products in one Sale]])</f>
        <v>288</v>
      </c>
      <c r="K483" s="6">
        <f>Table3[[#This Row],[Actual Sale]]*(1-Table3[[#This Row],[Discount]])</f>
        <v>171.46416500711808</v>
      </c>
      <c r="L483" t="str">
        <f>TEXT(Table3[[#This Row],[Sale Date]],"dddd")</f>
        <v>Wednesday</v>
      </c>
    </row>
    <row r="484" spans="1:12" x14ac:dyDescent="0.3">
      <c r="A484" t="s">
        <v>507</v>
      </c>
      <c r="B484" t="s">
        <v>51</v>
      </c>
      <c r="C484" s="1">
        <v>44727</v>
      </c>
      <c r="D484" t="s">
        <v>60</v>
      </c>
      <c r="E484" t="s">
        <v>66</v>
      </c>
      <c r="F484">
        <v>65</v>
      </c>
      <c r="G484" t="s">
        <v>1</v>
      </c>
      <c r="H484" s="2">
        <v>10</v>
      </c>
      <c r="I484" s="3">
        <v>0.56828189926736972</v>
      </c>
      <c r="J484">
        <f>PRODUCT(Table3[[#This Row],[Price of One Product]],Table3[[#This Row],[No of Products in one Sale]])</f>
        <v>650</v>
      </c>
      <c r="K484" s="6">
        <f>Table3[[#This Row],[Actual Sale]]*(1-Table3[[#This Row],[Discount]])</f>
        <v>280.61676547620971</v>
      </c>
      <c r="L484" t="str">
        <f>TEXT(Table3[[#This Row],[Sale Date]],"dddd")</f>
        <v>Wednesday</v>
      </c>
    </row>
    <row r="485" spans="1:12" x14ac:dyDescent="0.3">
      <c r="A485" t="s">
        <v>508</v>
      </c>
      <c r="B485" t="s">
        <v>52</v>
      </c>
      <c r="C485" s="1">
        <v>44737</v>
      </c>
      <c r="D485" t="s">
        <v>61</v>
      </c>
      <c r="E485" t="s">
        <v>67</v>
      </c>
      <c r="F485">
        <v>250</v>
      </c>
      <c r="G485" t="s">
        <v>2</v>
      </c>
      <c r="H485" s="2">
        <v>1</v>
      </c>
      <c r="I485" s="3">
        <v>0.68415839920111321</v>
      </c>
      <c r="J485">
        <f>PRODUCT(Table3[[#This Row],[Price of One Product]],Table3[[#This Row],[No of Products in one Sale]])</f>
        <v>250</v>
      </c>
      <c r="K485" s="6">
        <f>Table3[[#This Row],[Actual Sale]]*(1-Table3[[#This Row],[Discount]])</f>
        <v>78.960400199721704</v>
      </c>
      <c r="L485" t="str">
        <f>TEXT(Table3[[#This Row],[Sale Date]],"dddd")</f>
        <v>Saturday</v>
      </c>
    </row>
    <row r="486" spans="1:12" x14ac:dyDescent="0.3">
      <c r="A486" t="s">
        <v>509</v>
      </c>
      <c r="B486" t="s">
        <v>53</v>
      </c>
      <c r="C486" s="1">
        <v>44747</v>
      </c>
      <c r="D486" t="s">
        <v>62</v>
      </c>
      <c r="E486" t="s">
        <v>66</v>
      </c>
      <c r="F486">
        <v>130</v>
      </c>
      <c r="G486" t="s">
        <v>0</v>
      </c>
      <c r="H486" s="2">
        <v>6</v>
      </c>
      <c r="I486" s="3">
        <v>0.47900916747418532</v>
      </c>
      <c r="J486">
        <f>PRODUCT(Table3[[#This Row],[Price of One Product]],Table3[[#This Row],[No of Products in one Sale]])</f>
        <v>780</v>
      </c>
      <c r="K486" s="6">
        <f>Table3[[#This Row],[Actual Sale]]*(1-Table3[[#This Row],[Discount]])</f>
        <v>406.37284937013544</v>
      </c>
      <c r="L486" t="str">
        <f>TEXT(Table3[[#This Row],[Sale Date]],"dddd")</f>
        <v>Tuesday</v>
      </c>
    </row>
    <row r="487" spans="1:12" x14ac:dyDescent="0.3">
      <c r="A487" t="s">
        <v>510</v>
      </c>
      <c r="B487" t="s">
        <v>54</v>
      </c>
      <c r="C487" s="1">
        <v>44754</v>
      </c>
      <c r="D487" t="s">
        <v>63</v>
      </c>
      <c r="E487" t="s">
        <v>67</v>
      </c>
      <c r="F487">
        <v>60</v>
      </c>
      <c r="G487" t="s">
        <v>1</v>
      </c>
      <c r="H487" s="2">
        <v>4</v>
      </c>
      <c r="I487" s="3">
        <v>0.89045722746488731</v>
      </c>
      <c r="J487">
        <f>PRODUCT(Table3[[#This Row],[Price of One Product]],Table3[[#This Row],[No of Products in one Sale]])</f>
        <v>240</v>
      </c>
      <c r="K487" s="6">
        <f>Table3[[#This Row],[Actual Sale]]*(1-Table3[[#This Row],[Discount]])</f>
        <v>26.290265408427047</v>
      </c>
      <c r="L487" t="str">
        <f>TEXT(Table3[[#This Row],[Sale Date]],"dddd")</f>
        <v>Tuesday</v>
      </c>
    </row>
    <row r="488" spans="1:12" x14ac:dyDescent="0.3">
      <c r="A488" t="s">
        <v>511</v>
      </c>
      <c r="B488" t="s">
        <v>55</v>
      </c>
      <c r="C488" s="1">
        <v>44760</v>
      </c>
      <c r="D488" t="s">
        <v>59</v>
      </c>
      <c r="E488" t="s">
        <v>66</v>
      </c>
      <c r="F488">
        <v>72</v>
      </c>
      <c r="G488" t="s">
        <v>2</v>
      </c>
      <c r="H488" s="2">
        <v>7</v>
      </c>
      <c r="I488" s="3">
        <v>0.50949971880500122</v>
      </c>
      <c r="J488">
        <f>PRODUCT(Table3[[#This Row],[Price of One Product]],Table3[[#This Row],[No of Products in one Sale]])</f>
        <v>504</v>
      </c>
      <c r="K488" s="6">
        <f>Table3[[#This Row],[Actual Sale]]*(1-Table3[[#This Row],[Discount]])</f>
        <v>247.2121417222794</v>
      </c>
      <c r="L488" t="str">
        <f>TEXT(Table3[[#This Row],[Sale Date]],"dddd")</f>
        <v>Monday</v>
      </c>
    </row>
    <row r="489" spans="1:12" x14ac:dyDescent="0.3">
      <c r="A489" t="s">
        <v>512</v>
      </c>
      <c r="B489" t="s">
        <v>51</v>
      </c>
      <c r="C489" s="1">
        <v>44759</v>
      </c>
      <c r="D489" t="s">
        <v>60</v>
      </c>
      <c r="E489" t="s">
        <v>67</v>
      </c>
      <c r="F489">
        <v>65</v>
      </c>
      <c r="G489" t="s">
        <v>0</v>
      </c>
      <c r="H489" s="2">
        <v>12</v>
      </c>
      <c r="I489" s="3">
        <v>0.78361211804502018</v>
      </c>
      <c r="J489">
        <f>PRODUCT(Table3[[#This Row],[Price of One Product]],Table3[[#This Row],[No of Products in one Sale]])</f>
        <v>780</v>
      </c>
      <c r="K489" s="6">
        <f>Table3[[#This Row],[Actual Sale]]*(1-Table3[[#This Row],[Discount]])</f>
        <v>168.78254792488426</v>
      </c>
      <c r="L489" t="str">
        <f>TEXT(Table3[[#This Row],[Sale Date]],"dddd")</f>
        <v>Sunday</v>
      </c>
    </row>
    <row r="490" spans="1:12" x14ac:dyDescent="0.3">
      <c r="A490" t="s">
        <v>513</v>
      </c>
      <c r="B490" t="s">
        <v>52</v>
      </c>
      <c r="C490" s="1">
        <v>44735</v>
      </c>
      <c r="D490" t="s">
        <v>61</v>
      </c>
      <c r="E490" t="s">
        <v>66</v>
      </c>
      <c r="F490">
        <v>250</v>
      </c>
      <c r="G490" t="s">
        <v>1</v>
      </c>
      <c r="H490" s="2">
        <v>1</v>
      </c>
      <c r="I490" s="3">
        <v>6.596920154790531E-2</v>
      </c>
      <c r="J490">
        <f>PRODUCT(Table3[[#This Row],[Price of One Product]],Table3[[#This Row],[No of Products in one Sale]])</f>
        <v>250</v>
      </c>
      <c r="K490" s="6">
        <f>Table3[[#This Row],[Actual Sale]]*(1-Table3[[#This Row],[Discount]])</f>
        <v>233.50769961302368</v>
      </c>
      <c r="L490" t="str">
        <f>TEXT(Table3[[#This Row],[Sale Date]],"dddd")</f>
        <v>Thursday</v>
      </c>
    </row>
    <row r="491" spans="1:12" x14ac:dyDescent="0.3">
      <c r="A491" t="s">
        <v>514</v>
      </c>
      <c r="B491" t="s">
        <v>53</v>
      </c>
      <c r="C491" s="1">
        <v>44734</v>
      </c>
      <c r="D491" t="s">
        <v>62</v>
      </c>
      <c r="E491" t="s">
        <v>67</v>
      </c>
      <c r="F491">
        <v>130</v>
      </c>
      <c r="G491" t="s">
        <v>2</v>
      </c>
      <c r="H491" s="2">
        <v>6</v>
      </c>
      <c r="I491" s="3">
        <v>0.17858014910494857</v>
      </c>
      <c r="J491">
        <f>PRODUCT(Table3[[#This Row],[Price of One Product]],Table3[[#This Row],[No of Products in one Sale]])</f>
        <v>780</v>
      </c>
      <c r="K491" s="6">
        <f>Table3[[#This Row],[Actual Sale]]*(1-Table3[[#This Row],[Discount]])</f>
        <v>640.70748369814009</v>
      </c>
      <c r="L491" t="str">
        <f>TEXT(Table3[[#This Row],[Sale Date]],"dddd")</f>
        <v>Wednesday</v>
      </c>
    </row>
    <row r="492" spans="1:12" x14ac:dyDescent="0.3">
      <c r="A492" t="s">
        <v>515</v>
      </c>
      <c r="B492" t="s">
        <v>54</v>
      </c>
      <c r="C492" s="1">
        <v>44753</v>
      </c>
      <c r="D492" t="s">
        <v>59</v>
      </c>
      <c r="E492" t="s">
        <v>66</v>
      </c>
      <c r="F492">
        <v>72</v>
      </c>
      <c r="G492" t="s">
        <v>0</v>
      </c>
      <c r="H492" s="2">
        <v>4</v>
      </c>
      <c r="I492" s="3">
        <v>0.43587855952805254</v>
      </c>
      <c r="J492">
        <f>PRODUCT(Table3[[#This Row],[Price of One Product]],Table3[[#This Row],[No of Products in one Sale]])</f>
        <v>288</v>
      </c>
      <c r="K492" s="6">
        <f>Table3[[#This Row],[Actual Sale]]*(1-Table3[[#This Row],[Discount]])</f>
        <v>162.46697485592085</v>
      </c>
      <c r="L492" t="str">
        <f>TEXT(Table3[[#This Row],[Sale Date]],"dddd")</f>
        <v>Monday</v>
      </c>
    </row>
    <row r="493" spans="1:12" x14ac:dyDescent="0.3">
      <c r="A493" t="s">
        <v>516</v>
      </c>
      <c r="B493" t="s">
        <v>51</v>
      </c>
      <c r="C493" s="1">
        <v>44739</v>
      </c>
      <c r="D493" t="s">
        <v>60</v>
      </c>
      <c r="E493" t="s">
        <v>67</v>
      </c>
      <c r="F493">
        <v>65</v>
      </c>
      <c r="G493" t="s">
        <v>1</v>
      </c>
      <c r="H493" s="2">
        <v>10</v>
      </c>
      <c r="I493" s="3">
        <v>0.74040338644493453</v>
      </c>
      <c r="J493">
        <f>PRODUCT(Table3[[#This Row],[Price of One Product]],Table3[[#This Row],[No of Products in one Sale]])</f>
        <v>650</v>
      </c>
      <c r="K493" s="6">
        <f>Table3[[#This Row],[Actual Sale]]*(1-Table3[[#This Row],[Discount]])</f>
        <v>168.73779881079255</v>
      </c>
      <c r="L493" t="str">
        <f>TEXT(Table3[[#This Row],[Sale Date]],"dddd")</f>
        <v>Monday</v>
      </c>
    </row>
    <row r="494" spans="1:12" x14ac:dyDescent="0.3">
      <c r="A494" t="s">
        <v>517</v>
      </c>
      <c r="B494" t="s">
        <v>52</v>
      </c>
      <c r="C494" s="1">
        <v>44740</v>
      </c>
      <c r="D494" t="s">
        <v>61</v>
      </c>
      <c r="E494" t="s">
        <v>66</v>
      </c>
      <c r="F494">
        <v>250</v>
      </c>
      <c r="G494" t="s">
        <v>2</v>
      </c>
      <c r="H494" s="2">
        <v>4</v>
      </c>
      <c r="I494" s="3">
        <v>0.54109571345744756</v>
      </c>
      <c r="J494">
        <f>PRODUCT(Table3[[#This Row],[Price of One Product]],Table3[[#This Row],[No of Products in one Sale]])</f>
        <v>1000</v>
      </c>
      <c r="K494" s="6">
        <f>Table3[[#This Row],[Actual Sale]]*(1-Table3[[#This Row],[Discount]])</f>
        <v>458.90428654255243</v>
      </c>
      <c r="L494" t="str">
        <f>TEXT(Table3[[#This Row],[Sale Date]],"dddd")</f>
        <v>Tuesday</v>
      </c>
    </row>
    <row r="495" spans="1:12" x14ac:dyDescent="0.3">
      <c r="A495" t="s">
        <v>518</v>
      </c>
      <c r="B495" t="s">
        <v>53</v>
      </c>
      <c r="C495" s="1">
        <v>44748</v>
      </c>
      <c r="D495" t="s">
        <v>62</v>
      </c>
      <c r="E495" t="s">
        <v>67</v>
      </c>
      <c r="F495">
        <v>130</v>
      </c>
      <c r="G495" t="s">
        <v>0</v>
      </c>
      <c r="H495" s="2">
        <v>3</v>
      </c>
      <c r="I495" s="3">
        <v>0.71271172701355112</v>
      </c>
      <c r="J495">
        <f>PRODUCT(Table3[[#This Row],[Price of One Product]],Table3[[#This Row],[No of Products in one Sale]])</f>
        <v>390</v>
      </c>
      <c r="K495" s="6">
        <f>Table3[[#This Row],[Actual Sale]]*(1-Table3[[#This Row],[Discount]])</f>
        <v>112.04242646471506</v>
      </c>
      <c r="L495" t="str">
        <f>TEXT(Table3[[#This Row],[Sale Date]],"dddd")</f>
        <v>Wednesday</v>
      </c>
    </row>
    <row r="496" spans="1:12" x14ac:dyDescent="0.3">
      <c r="A496" t="s">
        <v>519</v>
      </c>
      <c r="B496" t="s">
        <v>54</v>
      </c>
      <c r="C496" s="1">
        <v>44731</v>
      </c>
      <c r="D496" t="s">
        <v>63</v>
      </c>
      <c r="E496" t="s">
        <v>66</v>
      </c>
      <c r="F496">
        <v>60</v>
      </c>
      <c r="G496" t="s">
        <v>1</v>
      </c>
      <c r="H496" s="2">
        <v>13</v>
      </c>
      <c r="I496" s="3">
        <v>0.66248409996473057</v>
      </c>
      <c r="J496">
        <f>PRODUCT(Table3[[#This Row],[Price of One Product]],Table3[[#This Row],[No of Products in one Sale]])</f>
        <v>780</v>
      </c>
      <c r="K496" s="6">
        <f>Table3[[#This Row],[Actual Sale]]*(1-Table3[[#This Row],[Discount]])</f>
        <v>263.26240202751018</v>
      </c>
      <c r="L496" t="str">
        <f>TEXT(Table3[[#This Row],[Sale Date]],"dddd")</f>
        <v>Sunday</v>
      </c>
    </row>
    <row r="497" spans="1:12" x14ac:dyDescent="0.3">
      <c r="A497" t="s">
        <v>520</v>
      </c>
      <c r="B497" t="s">
        <v>55</v>
      </c>
      <c r="C497" s="1">
        <v>44763</v>
      </c>
      <c r="D497" t="s">
        <v>64</v>
      </c>
      <c r="E497" t="s">
        <v>67</v>
      </c>
      <c r="F497">
        <v>95</v>
      </c>
      <c r="G497" t="s">
        <v>2</v>
      </c>
      <c r="H497" s="2">
        <v>4</v>
      </c>
      <c r="I497" s="3">
        <v>0.51300641040982664</v>
      </c>
      <c r="J497">
        <f>PRODUCT(Table3[[#This Row],[Price of One Product]],Table3[[#This Row],[No of Products in one Sale]])</f>
        <v>380</v>
      </c>
      <c r="K497" s="6">
        <f>Table3[[#This Row],[Actual Sale]]*(1-Table3[[#This Row],[Discount]])</f>
        <v>185.05756404426589</v>
      </c>
      <c r="L497" t="str">
        <f>TEXT(Table3[[#This Row],[Sale Date]],"dddd")</f>
        <v>Thursday</v>
      </c>
    </row>
    <row r="498" spans="1:12" x14ac:dyDescent="0.3">
      <c r="A498" t="s">
        <v>521</v>
      </c>
      <c r="B498" t="s">
        <v>56</v>
      </c>
      <c r="C498" s="1">
        <v>44733</v>
      </c>
      <c r="D498" t="s">
        <v>59</v>
      </c>
      <c r="E498" t="s">
        <v>66</v>
      </c>
      <c r="F498">
        <v>72</v>
      </c>
      <c r="G498" t="s">
        <v>0</v>
      </c>
      <c r="H498" s="2">
        <v>3</v>
      </c>
      <c r="I498" s="3">
        <v>0.84951124937796896</v>
      </c>
      <c r="J498">
        <f>PRODUCT(Table3[[#This Row],[Price of One Product]],Table3[[#This Row],[No of Products in one Sale]])</f>
        <v>216</v>
      </c>
      <c r="K498" s="6">
        <f>Table3[[#This Row],[Actual Sale]]*(1-Table3[[#This Row],[Discount]])</f>
        <v>32.505570134358706</v>
      </c>
      <c r="L498" t="str">
        <f>TEXT(Table3[[#This Row],[Sale Date]],"dddd")</f>
        <v>Tuesday</v>
      </c>
    </row>
    <row r="499" spans="1:12" x14ac:dyDescent="0.3">
      <c r="A499" t="s">
        <v>522</v>
      </c>
      <c r="B499" t="s">
        <v>51</v>
      </c>
      <c r="C499" s="1">
        <v>44746</v>
      </c>
      <c r="D499" t="s">
        <v>60</v>
      </c>
      <c r="E499" t="s">
        <v>67</v>
      </c>
      <c r="F499">
        <v>65</v>
      </c>
      <c r="G499" t="s">
        <v>1</v>
      </c>
      <c r="H499" s="2">
        <v>12</v>
      </c>
      <c r="I499" s="3">
        <v>0.57786595909251792</v>
      </c>
      <c r="J499">
        <f>PRODUCT(Table3[[#This Row],[Price of One Product]],Table3[[#This Row],[No of Products in one Sale]])</f>
        <v>780</v>
      </c>
      <c r="K499" s="6">
        <f>Table3[[#This Row],[Actual Sale]]*(1-Table3[[#This Row],[Discount]])</f>
        <v>329.26455190783599</v>
      </c>
      <c r="L499" t="str">
        <f>TEXT(Table3[[#This Row],[Sale Date]],"dddd")</f>
        <v>Monday</v>
      </c>
    </row>
    <row r="500" spans="1:12" x14ac:dyDescent="0.3">
      <c r="A500" t="s">
        <v>523</v>
      </c>
      <c r="B500" t="s">
        <v>52</v>
      </c>
      <c r="C500" s="1">
        <v>44755</v>
      </c>
      <c r="D500" t="s">
        <v>61</v>
      </c>
      <c r="E500" t="s">
        <v>67</v>
      </c>
      <c r="F500">
        <v>250</v>
      </c>
      <c r="G500" t="s">
        <v>2</v>
      </c>
      <c r="H500" s="2">
        <v>4</v>
      </c>
      <c r="I500" s="3">
        <v>1.9027976654024337E-2</v>
      </c>
      <c r="J500">
        <f>PRODUCT(Table3[[#This Row],[Price of One Product]],Table3[[#This Row],[No of Products in one Sale]])</f>
        <v>1000</v>
      </c>
      <c r="K500" s="6">
        <f>Table3[[#This Row],[Actual Sale]]*(1-Table3[[#This Row],[Discount]])</f>
        <v>980.97202334597569</v>
      </c>
      <c r="L500" t="str">
        <f>TEXT(Table3[[#This Row],[Sale Date]],"dddd")</f>
        <v>Wednesday</v>
      </c>
    </row>
    <row r="501" spans="1:12" x14ac:dyDescent="0.3">
      <c r="A501" t="s">
        <v>524</v>
      </c>
      <c r="B501" t="s">
        <v>51</v>
      </c>
      <c r="C501" s="1">
        <v>44787</v>
      </c>
      <c r="D501" t="s">
        <v>59</v>
      </c>
      <c r="E501" t="s">
        <v>66</v>
      </c>
      <c r="F501">
        <v>72</v>
      </c>
      <c r="G501" t="s">
        <v>0</v>
      </c>
      <c r="H501" s="2">
        <v>9</v>
      </c>
      <c r="I501" s="3">
        <f ca="1">RAND()</f>
        <v>0.911792633296171</v>
      </c>
      <c r="J501">
        <f>PRODUCT(Table3[[#This Row],[Price of One Product]],Table3[[#This Row],[No of Products in one Sale]])</f>
        <v>648</v>
      </c>
      <c r="K501" s="6">
        <f ca="1">Table3[[#This Row],[Actual Sale]]*(1-Table3[[#This Row],[Discount]])</f>
        <v>57.158373624081193</v>
      </c>
      <c r="L501" t="str">
        <f>TEXT(Table3[[#This Row],[Sale Date]],"dddd")</f>
        <v>Sunday</v>
      </c>
    </row>
    <row r="502" spans="1:12" x14ac:dyDescent="0.3">
      <c r="A502" t="s">
        <v>525</v>
      </c>
      <c r="B502" t="s">
        <v>52</v>
      </c>
      <c r="C502" s="1">
        <v>44799</v>
      </c>
      <c r="D502" t="s">
        <v>60</v>
      </c>
      <c r="E502" t="s">
        <v>67</v>
      </c>
      <c r="F502">
        <v>65</v>
      </c>
      <c r="G502" t="s">
        <v>1</v>
      </c>
      <c r="H502" s="2">
        <v>11</v>
      </c>
      <c r="I502" s="3">
        <f t="shared" ref="I502:I565" ca="1" si="0">RAND()</f>
        <v>0.80570021469158803</v>
      </c>
      <c r="J502">
        <f>PRODUCT(Table3[[#This Row],[Price of One Product]],Table3[[#This Row],[No of Products in one Sale]])</f>
        <v>715</v>
      </c>
      <c r="K502" s="6">
        <f ca="1">Table3[[#This Row],[Actual Sale]]*(1-Table3[[#This Row],[Discount]])</f>
        <v>138.92434649551456</v>
      </c>
      <c r="L502" t="str">
        <f>TEXT(Table3[[#This Row],[Sale Date]],"dddd")</f>
        <v>Friday</v>
      </c>
    </row>
    <row r="503" spans="1:12" x14ac:dyDescent="0.3">
      <c r="A503" t="s">
        <v>526</v>
      </c>
      <c r="B503" t="s">
        <v>53</v>
      </c>
      <c r="C503" s="1">
        <v>44802</v>
      </c>
      <c r="D503" t="s">
        <v>61</v>
      </c>
      <c r="E503" t="s">
        <v>66</v>
      </c>
      <c r="F503">
        <v>250</v>
      </c>
      <c r="G503" t="s">
        <v>2</v>
      </c>
      <c r="H503" s="2">
        <v>2</v>
      </c>
      <c r="I503" s="3">
        <f t="shared" ca="1" si="0"/>
        <v>0.79305913592960531</v>
      </c>
      <c r="J503">
        <f>PRODUCT(Table3[[#This Row],[Price of One Product]],Table3[[#This Row],[No of Products in one Sale]])</f>
        <v>500</v>
      </c>
      <c r="K503" s="6">
        <f ca="1">Table3[[#This Row],[Actual Sale]]*(1-Table3[[#This Row],[Discount]])</f>
        <v>103.47043203519735</v>
      </c>
      <c r="L503" t="str">
        <f>TEXT(Table3[[#This Row],[Sale Date]],"dddd")</f>
        <v>Monday</v>
      </c>
    </row>
    <row r="504" spans="1:12" x14ac:dyDescent="0.3">
      <c r="A504" t="s">
        <v>527</v>
      </c>
      <c r="B504" t="s">
        <v>54</v>
      </c>
      <c r="C504" s="1">
        <v>44774</v>
      </c>
      <c r="D504" t="s">
        <v>62</v>
      </c>
      <c r="E504" t="s">
        <v>67</v>
      </c>
      <c r="F504">
        <v>130</v>
      </c>
      <c r="G504" t="s">
        <v>0</v>
      </c>
      <c r="H504" s="2">
        <v>5</v>
      </c>
      <c r="I504" s="3">
        <f t="shared" ca="1" si="0"/>
        <v>0.5507721910750849</v>
      </c>
      <c r="J504">
        <f>PRODUCT(Table3[[#This Row],[Price of One Product]],Table3[[#This Row],[No of Products in one Sale]])</f>
        <v>650</v>
      </c>
      <c r="K504" s="6">
        <f ca="1">Table3[[#This Row],[Actual Sale]]*(1-Table3[[#This Row],[Discount]])</f>
        <v>291.99807580119483</v>
      </c>
      <c r="L504" t="str">
        <f>TEXT(Table3[[#This Row],[Sale Date]],"dddd")</f>
        <v>Monday</v>
      </c>
    </row>
    <row r="505" spans="1:12" x14ac:dyDescent="0.3">
      <c r="A505" t="s">
        <v>528</v>
      </c>
      <c r="B505" t="s">
        <v>51</v>
      </c>
      <c r="C505" s="1">
        <v>44800</v>
      </c>
      <c r="D505" t="s">
        <v>59</v>
      </c>
      <c r="E505" t="s">
        <v>66</v>
      </c>
      <c r="F505">
        <v>72</v>
      </c>
      <c r="G505" t="s">
        <v>1</v>
      </c>
      <c r="H505" s="2">
        <v>8</v>
      </c>
      <c r="I505" s="3">
        <f t="shared" ca="1" si="0"/>
        <v>0.57796442133146042</v>
      </c>
      <c r="J505">
        <f>PRODUCT(Table3[[#This Row],[Price of One Product]],Table3[[#This Row],[No of Products in one Sale]])</f>
        <v>576</v>
      </c>
      <c r="K505" s="6">
        <f ca="1">Table3[[#This Row],[Actual Sale]]*(1-Table3[[#This Row],[Discount]])</f>
        <v>243.09249331307879</v>
      </c>
      <c r="L505" t="str">
        <f>TEXT(Table3[[#This Row],[Sale Date]],"dddd")</f>
        <v>Saturday</v>
      </c>
    </row>
    <row r="506" spans="1:12" x14ac:dyDescent="0.3">
      <c r="A506" t="s">
        <v>529</v>
      </c>
      <c r="B506" t="s">
        <v>52</v>
      </c>
      <c r="C506" s="1">
        <v>44797</v>
      </c>
      <c r="D506" t="s">
        <v>60</v>
      </c>
      <c r="E506" t="s">
        <v>67</v>
      </c>
      <c r="F506">
        <v>65</v>
      </c>
      <c r="G506" t="s">
        <v>2</v>
      </c>
      <c r="H506" s="2">
        <v>5</v>
      </c>
      <c r="I506" s="3">
        <f t="shared" ca="1" si="0"/>
        <v>0.88028720368939173</v>
      </c>
      <c r="J506">
        <f>PRODUCT(Table3[[#This Row],[Price of One Product]],Table3[[#This Row],[No of Products in one Sale]])</f>
        <v>325</v>
      </c>
      <c r="K506" s="6">
        <f ca="1">Table3[[#This Row],[Actual Sale]]*(1-Table3[[#This Row],[Discount]])</f>
        <v>38.906658800947689</v>
      </c>
      <c r="L506" t="str">
        <f>TEXT(Table3[[#This Row],[Sale Date]],"dddd")</f>
        <v>Wednesday</v>
      </c>
    </row>
    <row r="507" spans="1:12" x14ac:dyDescent="0.3">
      <c r="A507" t="s">
        <v>530</v>
      </c>
      <c r="B507" t="s">
        <v>53</v>
      </c>
      <c r="C507" s="1">
        <v>44766</v>
      </c>
      <c r="D507" t="s">
        <v>61</v>
      </c>
      <c r="E507" t="s">
        <v>66</v>
      </c>
      <c r="F507">
        <v>250</v>
      </c>
      <c r="G507" t="s">
        <v>0</v>
      </c>
      <c r="H507" s="2">
        <v>2</v>
      </c>
      <c r="I507" s="3">
        <f t="shared" ca="1" si="0"/>
        <v>0.99056460475941654</v>
      </c>
      <c r="J507">
        <f>PRODUCT(Table3[[#This Row],[Price of One Product]],Table3[[#This Row],[No of Products in one Sale]])</f>
        <v>500</v>
      </c>
      <c r="K507" s="6">
        <f ca="1">Table3[[#This Row],[Actual Sale]]*(1-Table3[[#This Row],[Discount]])</f>
        <v>4.7176976202917276</v>
      </c>
      <c r="L507" t="str">
        <f>TEXT(Table3[[#This Row],[Sale Date]],"dddd")</f>
        <v>Sunday</v>
      </c>
    </row>
    <row r="508" spans="1:12" x14ac:dyDescent="0.3">
      <c r="A508" t="s">
        <v>531</v>
      </c>
      <c r="B508" t="s">
        <v>54</v>
      </c>
      <c r="C508" s="1">
        <v>44782</v>
      </c>
      <c r="D508" t="s">
        <v>62</v>
      </c>
      <c r="E508" t="s">
        <v>67</v>
      </c>
      <c r="F508">
        <v>130</v>
      </c>
      <c r="G508" t="s">
        <v>1</v>
      </c>
      <c r="H508" s="2">
        <v>4</v>
      </c>
      <c r="I508" s="3">
        <f t="shared" ca="1" si="0"/>
        <v>0.6630897810979447</v>
      </c>
      <c r="J508">
        <f>PRODUCT(Table3[[#This Row],[Price of One Product]],Table3[[#This Row],[No of Products in one Sale]])</f>
        <v>520</v>
      </c>
      <c r="K508" s="6">
        <f ca="1">Table3[[#This Row],[Actual Sale]]*(1-Table3[[#This Row],[Discount]])</f>
        <v>175.19331382906876</v>
      </c>
      <c r="L508" t="str">
        <f>TEXT(Table3[[#This Row],[Sale Date]],"dddd")</f>
        <v>Tuesday</v>
      </c>
    </row>
    <row r="509" spans="1:12" x14ac:dyDescent="0.3">
      <c r="A509" t="s">
        <v>532</v>
      </c>
      <c r="B509" t="s">
        <v>55</v>
      </c>
      <c r="C509" s="1">
        <v>44790</v>
      </c>
      <c r="D509" t="s">
        <v>63</v>
      </c>
      <c r="E509" t="s">
        <v>66</v>
      </c>
      <c r="F509">
        <v>60</v>
      </c>
      <c r="G509" t="s">
        <v>2</v>
      </c>
      <c r="H509" s="2">
        <v>12</v>
      </c>
      <c r="I509" s="3">
        <f t="shared" ca="1" si="0"/>
        <v>0.93993360507705992</v>
      </c>
      <c r="J509">
        <f>PRODUCT(Table3[[#This Row],[Price of One Product]],Table3[[#This Row],[No of Products in one Sale]])</f>
        <v>720</v>
      </c>
      <c r="K509" s="6">
        <f ca="1">Table3[[#This Row],[Actual Sale]]*(1-Table3[[#This Row],[Discount]])</f>
        <v>43.247804344516858</v>
      </c>
      <c r="L509" t="str">
        <f>TEXT(Table3[[#This Row],[Sale Date]],"dddd")</f>
        <v>Wednesday</v>
      </c>
    </row>
    <row r="510" spans="1:12" x14ac:dyDescent="0.3">
      <c r="A510" t="s">
        <v>533</v>
      </c>
      <c r="B510" t="s">
        <v>51</v>
      </c>
      <c r="C510" s="1">
        <v>44770</v>
      </c>
      <c r="D510" t="s">
        <v>59</v>
      </c>
      <c r="E510" t="s">
        <v>67</v>
      </c>
      <c r="F510">
        <v>72</v>
      </c>
      <c r="G510" t="s">
        <v>0</v>
      </c>
      <c r="H510" s="2">
        <v>12</v>
      </c>
      <c r="I510" s="3">
        <f t="shared" ca="1" si="0"/>
        <v>0.88909862996493816</v>
      </c>
      <c r="J510">
        <f>PRODUCT(Table3[[#This Row],[Price of One Product]],Table3[[#This Row],[No of Products in one Sale]])</f>
        <v>864</v>
      </c>
      <c r="K510" s="6">
        <f ca="1">Table3[[#This Row],[Actual Sale]]*(1-Table3[[#This Row],[Discount]])</f>
        <v>95.818783710293431</v>
      </c>
      <c r="L510" t="str">
        <f>TEXT(Table3[[#This Row],[Sale Date]],"dddd")</f>
        <v>Thursday</v>
      </c>
    </row>
    <row r="511" spans="1:12" x14ac:dyDescent="0.3">
      <c r="A511" t="s">
        <v>534</v>
      </c>
      <c r="B511" t="s">
        <v>52</v>
      </c>
      <c r="C511" s="1">
        <v>44759</v>
      </c>
      <c r="D511" t="s">
        <v>60</v>
      </c>
      <c r="E511" t="s">
        <v>66</v>
      </c>
      <c r="F511">
        <v>65</v>
      </c>
      <c r="G511" t="s">
        <v>1</v>
      </c>
      <c r="H511" s="2">
        <v>9</v>
      </c>
      <c r="I511" s="3">
        <f t="shared" ca="1" si="0"/>
        <v>0.64088506465001616</v>
      </c>
      <c r="J511">
        <f>PRODUCT(Table3[[#This Row],[Price of One Product]],Table3[[#This Row],[No of Products in one Sale]])</f>
        <v>585</v>
      </c>
      <c r="K511" s="6">
        <f ca="1">Table3[[#This Row],[Actual Sale]]*(1-Table3[[#This Row],[Discount]])</f>
        <v>210.08223717974056</v>
      </c>
      <c r="L511" t="str">
        <f>TEXT(Table3[[#This Row],[Sale Date]],"dddd")</f>
        <v>Sunday</v>
      </c>
    </row>
    <row r="512" spans="1:12" x14ac:dyDescent="0.3">
      <c r="A512" t="s">
        <v>535</v>
      </c>
      <c r="B512" t="s">
        <v>53</v>
      </c>
      <c r="C512" s="1">
        <v>44776</v>
      </c>
      <c r="D512" t="s">
        <v>61</v>
      </c>
      <c r="E512" t="s">
        <v>67</v>
      </c>
      <c r="F512">
        <v>250</v>
      </c>
      <c r="G512" t="s">
        <v>2</v>
      </c>
      <c r="H512" s="2">
        <v>3</v>
      </c>
      <c r="I512" s="3">
        <f t="shared" ca="1" si="0"/>
        <v>0.27434255093429349</v>
      </c>
      <c r="J512">
        <f>PRODUCT(Table3[[#This Row],[Price of One Product]],Table3[[#This Row],[No of Products in one Sale]])</f>
        <v>750</v>
      </c>
      <c r="K512" s="6">
        <f ca="1">Table3[[#This Row],[Actual Sale]]*(1-Table3[[#This Row],[Discount]])</f>
        <v>544.24308679927992</v>
      </c>
      <c r="L512" t="str">
        <f>TEXT(Table3[[#This Row],[Sale Date]],"dddd")</f>
        <v>Wednesday</v>
      </c>
    </row>
    <row r="513" spans="1:12" x14ac:dyDescent="0.3">
      <c r="A513" t="s">
        <v>536</v>
      </c>
      <c r="B513" t="s">
        <v>54</v>
      </c>
      <c r="C513" s="1">
        <v>44757</v>
      </c>
      <c r="D513" t="s">
        <v>62</v>
      </c>
      <c r="E513" t="s">
        <v>66</v>
      </c>
      <c r="F513">
        <v>130</v>
      </c>
      <c r="G513" t="s">
        <v>0</v>
      </c>
      <c r="H513" s="2">
        <v>6</v>
      </c>
      <c r="I513" s="3">
        <f t="shared" ca="1" si="0"/>
        <v>0.1491333147830769</v>
      </c>
      <c r="J513">
        <f>PRODUCT(Table3[[#This Row],[Price of One Product]],Table3[[#This Row],[No of Products in one Sale]])</f>
        <v>780</v>
      </c>
      <c r="K513" s="6">
        <f ca="1">Table3[[#This Row],[Actual Sale]]*(1-Table3[[#This Row],[Discount]])</f>
        <v>663.67601446920003</v>
      </c>
      <c r="L513" t="str">
        <f>TEXT(Table3[[#This Row],[Sale Date]],"dddd")</f>
        <v>Friday</v>
      </c>
    </row>
    <row r="514" spans="1:12" x14ac:dyDescent="0.3">
      <c r="A514" t="s">
        <v>537</v>
      </c>
      <c r="B514" t="s">
        <v>51</v>
      </c>
      <c r="C514" s="1">
        <v>44771</v>
      </c>
      <c r="D514" t="s">
        <v>59</v>
      </c>
      <c r="E514" t="s">
        <v>67</v>
      </c>
      <c r="F514">
        <v>72</v>
      </c>
      <c r="G514" t="s">
        <v>1</v>
      </c>
      <c r="H514" s="2">
        <v>8</v>
      </c>
      <c r="I514" s="3">
        <f t="shared" ca="1" si="0"/>
        <v>0.56570577309514858</v>
      </c>
      <c r="J514">
        <f>PRODUCT(Table3[[#This Row],[Price of One Product]],Table3[[#This Row],[No of Products in one Sale]])</f>
        <v>576</v>
      </c>
      <c r="K514" s="6">
        <f ca="1">Table3[[#This Row],[Actual Sale]]*(1-Table3[[#This Row],[Discount]])</f>
        <v>250.15347469719441</v>
      </c>
      <c r="L514" t="str">
        <f>TEXT(Table3[[#This Row],[Sale Date]],"dddd")</f>
        <v>Friday</v>
      </c>
    </row>
    <row r="515" spans="1:12" x14ac:dyDescent="0.3">
      <c r="A515" t="s">
        <v>538</v>
      </c>
      <c r="B515" t="s">
        <v>52</v>
      </c>
      <c r="C515" s="1">
        <v>44788</v>
      </c>
      <c r="D515" t="s">
        <v>60</v>
      </c>
      <c r="E515" t="s">
        <v>66</v>
      </c>
      <c r="F515">
        <v>65</v>
      </c>
      <c r="G515" t="s">
        <v>2</v>
      </c>
      <c r="H515" s="2">
        <v>4</v>
      </c>
      <c r="I515" s="3">
        <f t="shared" ca="1" si="0"/>
        <v>0.703145809255453</v>
      </c>
      <c r="J515">
        <f>PRODUCT(Table3[[#This Row],[Price of One Product]],Table3[[#This Row],[No of Products in one Sale]])</f>
        <v>260</v>
      </c>
      <c r="K515" s="6">
        <f ca="1">Table3[[#This Row],[Actual Sale]]*(1-Table3[[#This Row],[Discount]])</f>
        <v>77.182089593582219</v>
      </c>
      <c r="L515" t="str">
        <f>TEXT(Table3[[#This Row],[Sale Date]],"dddd")</f>
        <v>Monday</v>
      </c>
    </row>
    <row r="516" spans="1:12" x14ac:dyDescent="0.3">
      <c r="A516" t="s">
        <v>539</v>
      </c>
      <c r="B516" t="s">
        <v>53</v>
      </c>
      <c r="C516" s="1">
        <v>44762</v>
      </c>
      <c r="D516" t="s">
        <v>61</v>
      </c>
      <c r="E516" t="s">
        <v>67</v>
      </c>
      <c r="F516">
        <v>250</v>
      </c>
      <c r="G516" t="s">
        <v>0</v>
      </c>
      <c r="H516" s="2">
        <v>2</v>
      </c>
      <c r="I516" s="3">
        <f t="shared" ca="1" si="0"/>
        <v>0.54981081537225462</v>
      </c>
      <c r="J516">
        <f>PRODUCT(Table3[[#This Row],[Price of One Product]],Table3[[#This Row],[No of Products in one Sale]])</f>
        <v>500</v>
      </c>
      <c r="K516" s="6">
        <f ca="1">Table3[[#This Row],[Actual Sale]]*(1-Table3[[#This Row],[Discount]])</f>
        <v>225.09459231387268</v>
      </c>
      <c r="L516" t="str">
        <f>TEXT(Table3[[#This Row],[Sale Date]],"dddd")</f>
        <v>Wednesday</v>
      </c>
    </row>
    <row r="517" spans="1:12" x14ac:dyDescent="0.3">
      <c r="A517" t="s">
        <v>540</v>
      </c>
      <c r="B517" t="s">
        <v>54</v>
      </c>
      <c r="C517" s="1">
        <v>44789</v>
      </c>
      <c r="D517" t="s">
        <v>62</v>
      </c>
      <c r="E517" t="s">
        <v>66</v>
      </c>
      <c r="F517">
        <v>130</v>
      </c>
      <c r="G517" t="s">
        <v>1</v>
      </c>
      <c r="H517" s="2">
        <v>6</v>
      </c>
      <c r="I517" s="3">
        <f t="shared" ca="1" si="0"/>
        <v>0.33902986168743343</v>
      </c>
      <c r="J517">
        <f>PRODUCT(Table3[[#This Row],[Price of One Product]],Table3[[#This Row],[No of Products in one Sale]])</f>
        <v>780</v>
      </c>
      <c r="K517" s="6">
        <f ca="1">Table3[[#This Row],[Actual Sale]]*(1-Table3[[#This Row],[Discount]])</f>
        <v>515.55670788380189</v>
      </c>
      <c r="L517" t="str">
        <f>TEXT(Table3[[#This Row],[Sale Date]],"dddd")</f>
        <v>Tuesday</v>
      </c>
    </row>
    <row r="518" spans="1:12" x14ac:dyDescent="0.3">
      <c r="A518" t="s">
        <v>541</v>
      </c>
      <c r="B518" t="s">
        <v>55</v>
      </c>
      <c r="C518" s="1">
        <v>44761</v>
      </c>
      <c r="D518" t="s">
        <v>63</v>
      </c>
      <c r="E518" t="s">
        <v>66</v>
      </c>
      <c r="F518">
        <v>60</v>
      </c>
      <c r="G518" t="s">
        <v>2</v>
      </c>
      <c r="H518" s="2">
        <v>15</v>
      </c>
      <c r="I518" s="3">
        <f t="shared" ca="1" si="0"/>
        <v>0.70716004993696302</v>
      </c>
      <c r="J518">
        <f>PRODUCT(Table3[[#This Row],[Price of One Product]],Table3[[#This Row],[No of Products in one Sale]])</f>
        <v>900</v>
      </c>
      <c r="K518" s="6">
        <f ca="1">Table3[[#This Row],[Actual Sale]]*(1-Table3[[#This Row],[Discount]])</f>
        <v>263.5559550567333</v>
      </c>
      <c r="L518" t="str">
        <f>TEXT(Table3[[#This Row],[Sale Date]],"dddd")</f>
        <v>Tuesday</v>
      </c>
    </row>
    <row r="519" spans="1:12" x14ac:dyDescent="0.3">
      <c r="A519" t="s">
        <v>542</v>
      </c>
      <c r="B519" t="s">
        <v>56</v>
      </c>
      <c r="C519" s="1">
        <v>44790</v>
      </c>
      <c r="D519" t="s">
        <v>64</v>
      </c>
      <c r="E519" t="s">
        <v>67</v>
      </c>
      <c r="F519">
        <v>95</v>
      </c>
      <c r="G519" t="s">
        <v>0</v>
      </c>
      <c r="H519" s="2">
        <v>8</v>
      </c>
      <c r="I519" s="3">
        <f t="shared" ca="1" si="0"/>
        <v>0.17371126378346002</v>
      </c>
      <c r="J519">
        <f>PRODUCT(Table3[[#This Row],[Price of One Product]],Table3[[#This Row],[No of Products in one Sale]])</f>
        <v>760</v>
      </c>
      <c r="K519" s="6">
        <f ca="1">Table3[[#This Row],[Actual Sale]]*(1-Table3[[#This Row],[Discount]])</f>
        <v>627.97943952457035</v>
      </c>
      <c r="L519" t="str">
        <f>TEXT(Table3[[#This Row],[Sale Date]],"dddd")</f>
        <v>Wednesday</v>
      </c>
    </row>
    <row r="520" spans="1:12" x14ac:dyDescent="0.3">
      <c r="A520" t="s">
        <v>543</v>
      </c>
      <c r="B520" t="s">
        <v>51</v>
      </c>
      <c r="C520" s="1">
        <v>44782</v>
      </c>
      <c r="D520" t="s">
        <v>59</v>
      </c>
      <c r="E520" t="s">
        <v>67</v>
      </c>
      <c r="F520">
        <v>72</v>
      </c>
      <c r="G520" t="s">
        <v>1</v>
      </c>
      <c r="H520" s="2">
        <v>4</v>
      </c>
      <c r="I520" s="3">
        <f t="shared" ca="1" si="0"/>
        <v>0.45253797363695969</v>
      </c>
      <c r="J520">
        <f>PRODUCT(Table3[[#This Row],[Price of One Product]],Table3[[#This Row],[No of Products in one Sale]])</f>
        <v>288</v>
      </c>
      <c r="K520" s="6">
        <f ca="1">Table3[[#This Row],[Actual Sale]]*(1-Table3[[#This Row],[Discount]])</f>
        <v>157.6690635925556</v>
      </c>
      <c r="L520" t="str">
        <f>TEXT(Table3[[#This Row],[Sale Date]],"dddd")</f>
        <v>Tuesday</v>
      </c>
    </row>
    <row r="521" spans="1:12" x14ac:dyDescent="0.3">
      <c r="A521" t="s">
        <v>544</v>
      </c>
      <c r="B521" t="s">
        <v>52</v>
      </c>
      <c r="C521" s="1">
        <v>44802</v>
      </c>
      <c r="D521" t="s">
        <v>60</v>
      </c>
      <c r="E521" t="s">
        <v>67</v>
      </c>
      <c r="F521">
        <v>65</v>
      </c>
      <c r="G521" t="s">
        <v>2</v>
      </c>
      <c r="H521" s="2">
        <v>3</v>
      </c>
      <c r="I521" s="3">
        <f t="shared" ca="1" si="0"/>
        <v>0.87582919824338601</v>
      </c>
      <c r="J521">
        <f>PRODUCT(Table3[[#This Row],[Price of One Product]],Table3[[#This Row],[No of Products in one Sale]])</f>
        <v>195</v>
      </c>
      <c r="K521" s="6">
        <f ca="1">Table3[[#This Row],[Actual Sale]]*(1-Table3[[#This Row],[Discount]])</f>
        <v>24.213306342539727</v>
      </c>
      <c r="L521" t="str">
        <f>TEXT(Table3[[#This Row],[Sale Date]],"dddd")</f>
        <v>Monday</v>
      </c>
    </row>
    <row r="522" spans="1:12" x14ac:dyDescent="0.3">
      <c r="A522" t="s">
        <v>545</v>
      </c>
      <c r="B522" t="s">
        <v>53</v>
      </c>
      <c r="C522" s="1">
        <v>44791</v>
      </c>
      <c r="D522" t="s">
        <v>61</v>
      </c>
      <c r="E522" t="s">
        <v>66</v>
      </c>
      <c r="F522">
        <v>250</v>
      </c>
      <c r="G522" t="s">
        <v>0</v>
      </c>
      <c r="H522" s="2">
        <v>1</v>
      </c>
      <c r="I522" s="3">
        <f t="shared" ca="1" si="0"/>
        <v>0.14216093004110486</v>
      </c>
      <c r="J522">
        <f>PRODUCT(Table3[[#This Row],[Price of One Product]],Table3[[#This Row],[No of Products in one Sale]])</f>
        <v>250</v>
      </c>
      <c r="K522" s="6">
        <f ca="1">Table3[[#This Row],[Actual Sale]]*(1-Table3[[#This Row],[Discount]])</f>
        <v>214.45976748972379</v>
      </c>
      <c r="L522" t="str">
        <f>TEXT(Table3[[#This Row],[Sale Date]],"dddd")</f>
        <v>Thursday</v>
      </c>
    </row>
    <row r="523" spans="1:12" x14ac:dyDescent="0.3">
      <c r="A523" t="s">
        <v>546</v>
      </c>
      <c r="B523" t="s">
        <v>54</v>
      </c>
      <c r="C523" s="1">
        <v>44795</v>
      </c>
      <c r="D523" t="s">
        <v>62</v>
      </c>
      <c r="E523" t="s">
        <v>66</v>
      </c>
      <c r="F523">
        <v>130</v>
      </c>
      <c r="G523" t="s">
        <v>1</v>
      </c>
      <c r="H523" s="2">
        <v>3</v>
      </c>
      <c r="I523" s="3">
        <f t="shared" ca="1" si="0"/>
        <v>0.19656076037368597</v>
      </c>
      <c r="J523">
        <f>PRODUCT(Table3[[#This Row],[Price of One Product]],Table3[[#This Row],[No of Products in one Sale]])</f>
        <v>390</v>
      </c>
      <c r="K523" s="6">
        <f ca="1">Table3[[#This Row],[Actual Sale]]*(1-Table3[[#This Row],[Discount]])</f>
        <v>313.34130345426246</v>
      </c>
      <c r="L523" t="str">
        <f>TEXT(Table3[[#This Row],[Sale Date]],"dddd")</f>
        <v>Monday</v>
      </c>
    </row>
    <row r="524" spans="1:12" x14ac:dyDescent="0.3">
      <c r="A524" t="s">
        <v>547</v>
      </c>
      <c r="B524" t="s">
        <v>51</v>
      </c>
      <c r="C524" s="1">
        <v>44759</v>
      </c>
      <c r="D524" t="s">
        <v>59</v>
      </c>
      <c r="E524" t="s">
        <v>66</v>
      </c>
      <c r="F524">
        <v>72</v>
      </c>
      <c r="G524" t="s">
        <v>2</v>
      </c>
      <c r="H524" s="2">
        <v>6</v>
      </c>
      <c r="I524" s="3">
        <f t="shared" ca="1" si="0"/>
        <v>3.5104378869248221E-2</v>
      </c>
      <c r="J524">
        <f>PRODUCT(Table3[[#This Row],[Price of One Product]],Table3[[#This Row],[No of Products in one Sale]])</f>
        <v>432</v>
      </c>
      <c r="K524" s="6">
        <f ca="1">Table3[[#This Row],[Actual Sale]]*(1-Table3[[#This Row],[Discount]])</f>
        <v>416.83490832848474</v>
      </c>
      <c r="L524" t="str">
        <f>TEXT(Table3[[#This Row],[Sale Date]],"dddd")</f>
        <v>Sunday</v>
      </c>
    </row>
    <row r="525" spans="1:12" x14ac:dyDescent="0.3">
      <c r="A525" t="s">
        <v>548</v>
      </c>
      <c r="B525" t="s">
        <v>52</v>
      </c>
      <c r="C525" s="1">
        <v>44756</v>
      </c>
      <c r="D525" t="s">
        <v>60</v>
      </c>
      <c r="E525" t="s">
        <v>66</v>
      </c>
      <c r="F525">
        <v>65</v>
      </c>
      <c r="G525" t="s">
        <v>0</v>
      </c>
      <c r="H525" s="2">
        <v>12</v>
      </c>
      <c r="I525" s="3">
        <f t="shared" ca="1" si="0"/>
        <v>0.8150484228479643</v>
      </c>
      <c r="J525">
        <f>PRODUCT(Table3[[#This Row],[Price of One Product]],Table3[[#This Row],[No of Products in one Sale]])</f>
        <v>780</v>
      </c>
      <c r="K525" s="6">
        <f ca="1">Table3[[#This Row],[Actual Sale]]*(1-Table3[[#This Row],[Discount]])</f>
        <v>144.26223017858786</v>
      </c>
      <c r="L525" t="str">
        <f>TEXT(Table3[[#This Row],[Sale Date]],"dddd")</f>
        <v>Thursday</v>
      </c>
    </row>
    <row r="526" spans="1:12" x14ac:dyDescent="0.3">
      <c r="A526" t="s">
        <v>549</v>
      </c>
      <c r="B526" t="s">
        <v>53</v>
      </c>
      <c r="C526" s="1">
        <v>44786</v>
      </c>
      <c r="D526" t="s">
        <v>61</v>
      </c>
      <c r="E526" t="s">
        <v>66</v>
      </c>
      <c r="F526">
        <v>250</v>
      </c>
      <c r="G526" t="s">
        <v>1</v>
      </c>
      <c r="H526" s="2">
        <v>3</v>
      </c>
      <c r="I526" s="3">
        <f t="shared" ca="1" si="0"/>
        <v>0.53753516824478575</v>
      </c>
      <c r="J526">
        <f>PRODUCT(Table3[[#This Row],[Price of One Product]],Table3[[#This Row],[No of Products in one Sale]])</f>
        <v>750</v>
      </c>
      <c r="K526" s="6">
        <f ca="1">Table3[[#This Row],[Actual Sale]]*(1-Table3[[#This Row],[Discount]])</f>
        <v>346.84862381641068</v>
      </c>
      <c r="L526" t="str">
        <f>TEXT(Table3[[#This Row],[Sale Date]],"dddd")</f>
        <v>Saturday</v>
      </c>
    </row>
    <row r="527" spans="1:12" x14ac:dyDescent="0.3">
      <c r="A527" t="s">
        <v>550</v>
      </c>
      <c r="B527" t="s">
        <v>54</v>
      </c>
      <c r="C527" s="1">
        <v>44757</v>
      </c>
      <c r="D527" t="s">
        <v>62</v>
      </c>
      <c r="E527" t="s">
        <v>66</v>
      </c>
      <c r="F527">
        <v>130</v>
      </c>
      <c r="G527" t="s">
        <v>2</v>
      </c>
      <c r="H527" s="2">
        <v>5</v>
      </c>
      <c r="I527" s="3">
        <f t="shared" ca="1" si="0"/>
        <v>0.60303712864149306</v>
      </c>
      <c r="J527">
        <f>PRODUCT(Table3[[#This Row],[Price of One Product]],Table3[[#This Row],[No of Products in one Sale]])</f>
        <v>650</v>
      </c>
      <c r="K527" s="6">
        <f ca="1">Table3[[#This Row],[Actual Sale]]*(1-Table3[[#This Row],[Discount]])</f>
        <v>258.02586638302949</v>
      </c>
      <c r="L527" t="str">
        <f>TEXT(Table3[[#This Row],[Sale Date]],"dddd")</f>
        <v>Friday</v>
      </c>
    </row>
    <row r="528" spans="1:12" x14ac:dyDescent="0.3">
      <c r="A528" t="s">
        <v>551</v>
      </c>
      <c r="B528" t="s">
        <v>55</v>
      </c>
      <c r="C528" s="1">
        <v>44787</v>
      </c>
      <c r="D528" t="s">
        <v>63</v>
      </c>
      <c r="E528" t="s">
        <v>66</v>
      </c>
      <c r="F528">
        <v>60</v>
      </c>
      <c r="G528" t="s">
        <v>0</v>
      </c>
      <c r="H528" s="2">
        <v>7</v>
      </c>
      <c r="I528" s="3">
        <f t="shared" ca="1" si="0"/>
        <v>0.74305280681361952</v>
      </c>
      <c r="J528">
        <f>PRODUCT(Table3[[#This Row],[Price of One Product]],Table3[[#This Row],[No of Products in one Sale]])</f>
        <v>420</v>
      </c>
      <c r="K528" s="6">
        <f ca="1">Table3[[#This Row],[Actual Sale]]*(1-Table3[[#This Row],[Discount]])</f>
        <v>107.91782113827981</v>
      </c>
      <c r="L528" t="str">
        <f>TEXT(Table3[[#This Row],[Sale Date]],"dddd")</f>
        <v>Sunday</v>
      </c>
    </row>
    <row r="529" spans="1:12" x14ac:dyDescent="0.3">
      <c r="A529" t="s">
        <v>552</v>
      </c>
      <c r="B529" t="s">
        <v>51</v>
      </c>
      <c r="C529" s="1">
        <v>44763</v>
      </c>
      <c r="D529" t="s">
        <v>59</v>
      </c>
      <c r="E529" t="s">
        <v>66</v>
      </c>
      <c r="F529">
        <v>72</v>
      </c>
      <c r="G529" t="s">
        <v>1</v>
      </c>
      <c r="H529" s="2">
        <v>7</v>
      </c>
      <c r="I529" s="3">
        <f t="shared" ca="1" si="0"/>
        <v>0.2767196026541302</v>
      </c>
      <c r="J529">
        <f>PRODUCT(Table3[[#This Row],[Price of One Product]],Table3[[#This Row],[No of Products in one Sale]])</f>
        <v>504</v>
      </c>
      <c r="K529" s="6">
        <f ca="1">Table3[[#This Row],[Actual Sale]]*(1-Table3[[#This Row],[Discount]])</f>
        <v>364.5333202623184</v>
      </c>
      <c r="L529" t="str">
        <f>TEXT(Table3[[#This Row],[Sale Date]],"dddd")</f>
        <v>Thursday</v>
      </c>
    </row>
    <row r="530" spans="1:12" x14ac:dyDescent="0.3">
      <c r="A530" t="s">
        <v>553</v>
      </c>
      <c r="B530" t="s">
        <v>52</v>
      </c>
      <c r="C530" s="1">
        <v>44799</v>
      </c>
      <c r="D530" t="s">
        <v>60</v>
      </c>
      <c r="E530" t="s">
        <v>66</v>
      </c>
      <c r="F530">
        <v>65</v>
      </c>
      <c r="G530" t="s">
        <v>2</v>
      </c>
      <c r="H530" s="2">
        <v>12</v>
      </c>
      <c r="I530" s="3">
        <f t="shared" ca="1" si="0"/>
        <v>0.55539584297862843</v>
      </c>
      <c r="J530">
        <f>PRODUCT(Table3[[#This Row],[Price of One Product]],Table3[[#This Row],[No of Products in one Sale]])</f>
        <v>780</v>
      </c>
      <c r="K530" s="6">
        <f ca="1">Table3[[#This Row],[Actual Sale]]*(1-Table3[[#This Row],[Discount]])</f>
        <v>346.79124247666982</v>
      </c>
      <c r="L530" t="str">
        <f>TEXT(Table3[[#This Row],[Sale Date]],"dddd")</f>
        <v>Friday</v>
      </c>
    </row>
    <row r="531" spans="1:12" x14ac:dyDescent="0.3">
      <c r="A531" t="s">
        <v>554</v>
      </c>
      <c r="B531" t="s">
        <v>53</v>
      </c>
      <c r="C531" s="1">
        <v>44798</v>
      </c>
      <c r="D531" t="s">
        <v>61</v>
      </c>
      <c r="E531" t="s">
        <v>67</v>
      </c>
      <c r="F531">
        <v>250</v>
      </c>
      <c r="G531" t="s">
        <v>0</v>
      </c>
      <c r="H531" s="2">
        <v>1</v>
      </c>
      <c r="I531" s="3">
        <f t="shared" ca="1" si="0"/>
        <v>0.2497593597166099</v>
      </c>
      <c r="J531">
        <f>PRODUCT(Table3[[#This Row],[Price of One Product]],Table3[[#This Row],[No of Products in one Sale]])</f>
        <v>250</v>
      </c>
      <c r="K531" s="6">
        <f ca="1">Table3[[#This Row],[Actual Sale]]*(1-Table3[[#This Row],[Discount]])</f>
        <v>187.56016007084753</v>
      </c>
      <c r="L531" t="str">
        <f>TEXT(Table3[[#This Row],[Sale Date]],"dddd")</f>
        <v>Thursday</v>
      </c>
    </row>
    <row r="532" spans="1:12" x14ac:dyDescent="0.3">
      <c r="A532" t="s">
        <v>555</v>
      </c>
      <c r="B532" t="s">
        <v>54</v>
      </c>
      <c r="C532" s="1">
        <v>44807</v>
      </c>
      <c r="D532" t="s">
        <v>62</v>
      </c>
      <c r="E532" t="s">
        <v>66</v>
      </c>
      <c r="F532">
        <v>130</v>
      </c>
      <c r="G532" t="s">
        <v>1</v>
      </c>
      <c r="H532" s="2">
        <v>2</v>
      </c>
      <c r="I532" s="3">
        <f t="shared" ca="1" si="0"/>
        <v>0.13516175441772049</v>
      </c>
      <c r="J532">
        <f>PRODUCT(Table3[[#This Row],[Price of One Product]],Table3[[#This Row],[No of Products in one Sale]])</f>
        <v>260</v>
      </c>
      <c r="K532" s="6">
        <f ca="1">Table3[[#This Row],[Actual Sale]]*(1-Table3[[#This Row],[Discount]])</f>
        <v>224.85794385139266</v>
      </c>
      <c r="L532" t="str">
        <f>TEXT(Table3[[#This Row],[Sale Date]],"dddd")</f>
        <v>Saturday</v>
      </c>
    </row>
    <row r="533" spans="1:12" x14ac:dyDescent="0.3">
      <c r="A533" t="s">
        <v>556</v>
      </c>
      <c r="B533" t="s">
        <v>51</v>
      </c>
      <c r="C533" s="1">
        <v>44769</v>
      </c>
      <c r="D533" t="s">
        <v>59</v>
      </c>
      <c r="E533" t="s">
        <v>66</v>
      </c>
      <c r="F533">
        <v>72</v>
      </c>
      <c r="G533" t="s">
        <v>2</v>
      </c>
      <c r="H533" s="2">
        <v>7</v>
      </c>
      <c r="I533" s="3">
        <f t="shared" ca="1" si="0"/>
        <v>0.86377869232122861</v>
      </c>
      <c r="J533">
        <f>PRODUCT(Table3[[#This Row],[Price of One Product]],Table3[[#This Row],[No of Products in one Sale]])</f>
        <v>504</v>
      </c>
      <c r="K533" s="6">
        <f ca="1">Table3[[#This Row],[Actual Sale]]*(1-Table3[[#This Row],[Discount]])</f>
        <v>68.655539070100772</v>
      </c>
      <c r="L533" t="str">
        <f>TEXT(Table3[[#This Row],[Sale Date]],"dddd")</f>
        <v>Wednesday</v>
      </c>
    </row>
    <row r="534" spans="1:12" x14ac:dyDescent="0.3">
      <c r="A534" t="s">
        <v>557</v>
      </c>
      <c r="B534" t="s">
        <v>52</v>
      </c>
      <c r="C534" s="1">
        <v>44779</v>
      </c>
      <c r="D534" t="s">
        <v>60</v>
      </c>
      <c r="E534" t="s">
        <v>66</v>
      </c>
      <c r="F534">
        <v>65</v>
      </c>
      <c r="G534" t="s">
        <v>0</v>
      </c>
      <c r="H534" s="2">
        <v>3</v>
      </c>
      <c r="I534" s="3">
        <f t="shared" ca="1" si="0"/>
        <v>0.94119378161007938</v>
      </c>
      <c r="J534">
        <f>PRODUCT(Table3[[#This Row],[Price of One Product]],Table3[[#This Row],[No of Products in one Sale]])</f>
        <v>195</v>
      </c>
      <c r="K534" s="6">
        <f ca="1">Table3[[#This Row],[Actual Sale]]*(1-Table3[[#This Row],[Discount]])</f>
        <v>11.46721258603452</v>
      </c>
      <c r="L534" t="str">
        <f>TEXT(Table3[[#This Row],[Sale Date]],"dddd")</f>
        <v>Saturday</v>
      </c>
    </row>
    <row r="535" spans="1:12" x14ac:dyDescent="0.3">
      <c r="A535" t="s">
        <v>558</v>
      </c>
      <c r="B535" t="s">
        <v>53</v>
      </c>
      <c r="C535" s="1">
        <v>44769</v>
      </c>
      <c r="D535" t="s">
        <v>61</v>
      </c>
      <c r="E535" t="s">
        <v>66</v>
      </c>
      <c r="F535">
        <v>250</v>
      </c>
      <c r="G535" t="s">
        <v>1</v>
      </c>
      <c r="H535" s="2">
        <v>2</v>
      </c>
      <c r="I535" s="3">
        <f t="shared" ca="1" si="0"/>
        <v>0.19395175210216709</v>
      </c>
      <c r="J535">
        <f>PRODUCT(Table3[[#This Row],[Price of One Product]],Table3[[#This Row],[No of Products in one Sale]])</f>
        <v>500</v>
      </c>
      <c r="K535" s="6">
        <f ca="1">Table3[[#This Row],[Actual Sale]]*(1-Table3[[#This Row],[Discount]])</f>
        <v>403.02412394891644</v>
      </c>
      <c r="L535" t="str">
        <f>TEXT(Table3[[#This Row],[Sale Date]],"dddd")</f>
        <v>Wednesday</v>
      </c>
    </row>
    <row r="536" spans="1:12" x14ac:dyDescent="0.3">
      <c r="A536" t="s">
        <v>559</v>
      </c>
      <c r="B536" t="s">
        <v>54</v>
      </c>
      <c r="C536" s="1">
        <v>44756</v>
      </c>
      <c r="D536" t="s">
        <v>62</v>
      </c>
      <c r="E536" t="s">
        <v>66</v>
      </c>
      <c r="F536">
        <v>130</v>
      </c>
      <c r="G536" t="s">
        <v>2</v>
      </c>
      <c r="H536" s="2">
        <v>3</v>
      </c>
      <c r="I536" s="3">
        <f t="shared" ca="1" si="0"/>
        <v>0.76122638939626819</v>
      </c>
      <c r="J536">
        <f>PRODUCT(Table3[[#This Row],[Price of One Product]],Table3[[#This Row],[No of Products in one Sale]])</f>
        <v>390</v>
      </c>
      <c r="K536" s="6">
        <f ca="1">Table3[[#This Row],[Actual Sale]]*(1-Table3[[#This Row],[Discount]])</f>
        <v>93.121708135455407</v>
      </c>
      <c r="L536" t="str">
        <f>TEXT(Table3[[#This Row],[Sale Date]],"dddd")</f>
        <v>Thursday</v>
      </c>
    </row>
    <row r="537" spans="1:12" x14ac:dyDescent="0.3">
      <c r="A537" t="s">
        <v>560</v>
      </c>
      <c r="B537" t="s">
        <v>55</v>
      </c>
      <c r="C537" s="1">
        <v>44799</v>
      </c>
      <c r="D537" t="s">
        <v>63</v>
      </c>
      <c r="E537" t="s">
        <v>67</v>
      </c>
      <c r="F537">
        <v>60</v>
      </c>
      <c r="G537" t="s">
        <v>0</v>
      </c>
      <c r="H537" s="2">
        <v>12</v>
      </c>
      <c r="I537" s="3">
        <f t="shared" ca="1" si="0"/>
        <v>0.42067847857108565</v>
      </c>
      <c r="J537">
        <f>PRODUCT(Table3[[#This Row],[Price of One Product]],Table3[[#This Row],[No of Products in one Sale]])</f>
        <v>720</v>
      </c>
      <c r="K537" s="6">
        <f ca="1">Table3[[#This Row],[Actual Sale]]*(1-Table3[[#This Row],[Discount]])</f>
        <v>417.11149542881833</v>
      </c>
      <c r="L537" t="str">
        <f>TEXT(Table3[[#This Row],[Sale Date]],"dddd")</f>
        <v>Friday</v>
      </c>
    </row>
    <row r="538" spans="1:12" x14ac:dyDescent="0.3">
      <c r="A538" t="s">
        <v>561</v>
      </c>
      <c r="B538" t="s">
        <v>56</v>
      </c>
      <c r="C538" s="1">
        <v>44807</v>
      </c>
      <c r="D538" t="s">
        <v>64</v>
      </c>
      <c r="E538" t="s">
        <v>66</v>
      </c>
      <c r="F538">
        <v>95</v>
      </c>
      <c r="G538" t="s">
        <v>1</v>
      </c>
      <c r="H538" s="2">
        <v>3</v>
      </c>
      <c r="I538" s="3">
        <f t="shared" ca="1" si="0"/>
        <v>0.52267860976461267</v>
      </c>
      <c r="J538">
        <f>PRODUCT(Table3[[#This Row],[Price of One Product]],Table3[[#This Row],[No of Products in one Sale]])</f>
        <v>285</v>
      </c>
      <c r="K538" s="6">
        <f ca="1">Table3[[#This Row],[Actual Sale]]*(1-Table3[[#This Row],[Discount]])</f>
        <v>136.03659621708539</v>
      </c>
      <c r="L538" t="str">
        <f>TEXT(Table3[[#This Row],[Sale Date]],"dddd")</f>
        <v>Saturday</v>
      </c>
    </row>
    <row r="539" spans="1:12" x14ac:dyDescent="0.3">
      <c r="A539" t="s">
        <v>562</v>
      </c>
      <c r="B539" t="s">
        <v>51</v>
      </c>
      <c r="C539" s="1">
        <v>44769</v>
      </c>
      <c r="D539" t="s">
        <v>59</v>
      </c>
      <c r="E539" t="s">
        <v>66</v>
      </c>
      <c r="F539">
        <v>72</v>
      </c>
      <c r="G539" t="s">
        <v>2</v>
      </c>
      <c r="H539" s="2">
        <v>6</v>
      </c>
      <c r="I539" s="3">
        <f t="shared" ca="1" si="0"/>
        <v>0.26752305526691034</v>
      </c>
      <c r="J539">
        <f>PRODUCT(Table3[[#This Row],[Price of One Product]],Table3[[#This Row],[No of Products in one Sale]])</f>
        <v>432</v>
      </c>
      <c r="K539" s="6">
        <f ca="1">Table3[[#This Row],[Actual Sale]]*(1-Table3[[#This Row],[Discount]])</f>
        <v>316.43004012469476</v>
      </c>
      <c r="L539" t="str">
        <f>TEXT(Table3[[#This Row],[Sale Date]],"dddd")</f>
        <v>Wednesday</v>
      </c>
    </row>
    <row r="540" spans="1:12" x14ac:dyDescent="0.3">
      <c r="A540" t="s">
        <v>563</v>
      </c>
      <c r="B540" t="s">
        <v>52</v>
      </c>
      <c r="C540" s="1">
        <v>44805</v>
      </c>
      <c r="D540" t="s">
        <v>60</v>
      </c>
      <c r="E540" t="s">
        <v>66</v>
      </c>
      <c r="F540">
        <v>65</v>
      </c>
      <c r="G540" t="s">
        <v>0</v>
      </c>
      <c r="H540" s="2">
        <v>5</v>
      </c>
      <c r="I540" s="3">
        <f t="shared" ca="1" si="0"/>
        <v>0.30733153118899248</v>
      </c>
      <c r="J540">
        <f>PRODUCT(Table3[[#This Row],[Price of One Product]],Table3[[#This Row],[No of Products in one Sale]])</f>
        <v>325</v>
      </c>
      <c r="K540" s="6">
        <f ca="1">Table3[[#This Row],[Actual Sale]]*(1-Table3[[#This Row],[Discount]])</f>
        <v>225.11725236357745</v>
      </c>
      <c r="L540" t="str">
        <f>TEXT(Table3[[#This Row],[Sale Date]],"dddd")</f>
        <v>Thursday</v>
      </c>
    </row>
    <row r="541" spans="1:12" x14ac:dyDescent="0.3">
      <c r="A541" t="s">
        <v>564</v>
      </c>
      <c r="B541" t="s">
        <v>53</v>
      </c>
      <c r="C541" s="1">
        <v>44796</v>
      </c>
      <c r="D541" t="s">
        <v>61</v>
      </c>
      <c r="E541" t="s">
        <v>67</v>
      </c>
      <c r="F541">
        <v>250</v>
      </c>
      <c r="G541" t="s">
        <v>1</v>
      </c>
      <c r="H541" s="2">
        <v>3</v>
      </c>
      <c r="I541" s="3">
        <f t="shared" ca="1" si="0"/>
        <v>0.56626115151712275</v>
      </c>
      <c r="J541">
        <f>PRODUCT(Table3[[#This Row],[Price of One Product]],Table3[[#This Row],[No of Products in one Sale]])</f>
        <v>750</v>
      </c>
      <c r="K541" s="6">
        <f ca="1">Table3[[#This Row],[Actual Sale]]*(1-Table3[[#This Row],[Discount]])</f>
        <v>325.30413636215792</v>
      </c>
      <c r="L541" t="str">
        <f>TEXT(Table3[[#This Row],[Sale Date]],"dddd")</f>
        <v>Tuesday</v>
      </c>
    </row>
    <row r="542" spans="1:12" x14ac:dyDescent="0.3">
      <c r="A542" t="s">
        <v>565</v>
      </c>
      <c r="B542" t="s">
        <v>54</v>
      </c>
      <c r="C542" s="1">
        <v>44798</v>
      </c>
      <c r="D542" t="s">
        <v>62</v>
      </c>
      <c r="E542" t="s">
        <v>67</v>
      </c>
      <c r="F542">
        <v>130</v>
      </c>
      <c r="G542" t="s">
        <v>2</v>
      </c>
      <c r="H542" s="2">
        <v>5</v>
      </c>
      <c r="I542" s="3">
        <f t="shared" ca="1" si="0"/>
        <v>0.22841850106079797</v>
      </c>
      <c r="J542">
        <f>PRODUCT(Table3[[#This Row],[Price of One Product]],Table3[[#This Row],[No of Products in one Sale]])</f>
        <v>650</v>
      </c>
      <c r="K542" s="6">
        <f ca="1">Table3[[#This Row],[Actual Sale]]*(1-Table3[[#This Row],[Discount]])</f>
        <v>501.52797431048134</v>
      </c>
      <c r="L542" t="str">
        <f>TEXT(Table3[[#This Row],[Sale Date]],"dddd")</f>
        <v>Thursday</v>
      </c>
    </row>
    <row r="543" spans="1:12" x14ac:dyDescent="0.3">
      <c r="A543" t="s">
        <v>566</v>
      </c>
      <c r="B543" t="s">
        <v>51</v>
      </c>
      <c r="C543" s="1">
        <v>44756</v>
      </c>
      <c r="D543" t="s">
        <v>59</v>
      </c>
      <c r="E543" t="s">
        <v>67</v>
      </c>
      <c r="F543">
        <v>72</v>
      </c>
      <c r="G543" t="s">
        <v>0</v>
      </c>
      <c r="H543" s="2">
        <v>6</v>
      </c>
      <c r="I543" s="3">
        <f t="shared" ca="1" si="0"/>
        <v>0.43685212704969212</v>
      </c>
      <c r="J543">
        <f>PRODUCT(Table3[[#This Row],[Price of One Product]],Table3[[#This Row],[No of Products in one Sale]])</f>
        <v>432</v>
      </c>
      <c r="K543" s="6">
        <f ca="1">Table3[[#This Row],[Actual Sale]]*(1-Table3[[#This Row],[Discount]])</f>
        <v>243.279881114533</v>
      </c>
      <c r="L543" t="str">
        <f>TEXT(Table3[[#This Row],[Sale Date]],"dddd")</f>
        <v>Thursday</v>
      </c>
    </row>
    <row r="544" spans="1:12" x14ac:dyDescent="0.3">
      <c r="A544" t="s">
        <v>567</v>
      </c>
      <c r="B544" t="s">
        <v>52</v>
      </c>
      <c r="C544" s="1">
        <v>44800</v>
      </c>
      <c r="D544" t="s">
        <v>60</v>
      </c>
      <c r="E544" t="s">
        <v>67</v>
      </c>
      <c r="F544">
        <v>65</v>
      </c>
      <c r="G544" t="s">
        <v>1</v>
      </c>
      <c r="H544" s="2">
        <v>11</v>
      </c>
      <c r="I544" s="3">
        <f t="shared" ca="1" si="0"/>
        <v>0.27311793936688311</v>
      </c>
      <c r="J544">
        <f>PRODUCT(Table3[[#This Row],[Price of One Product]],Table3[[#This Row],[No of Products in one Sale]])</f>
        <v>715</v>
      </c>
      <c r="K544" s="6">
        <f ca="1">Table3[[#This Row],[Actual Sale]]*(1-Table3[[#This Row],[Discount]])</f>
        <v>519.72067335267855</v>
      </c>
      <c r="L544" t="str">
        <f>TEXT(Table3[[#This Row],[Sale Date]],"dddd")</f>
        <v>Saturday</v>
      </c>
    </row>
    <row r="545" spans="1:12" x14ac:dyDescent="0.3">
      <c r="A545" t="s">
        <v>568</v>
      </c>
      <c r="B545" t="s">
        <v>53</v>
      </c>
      <c r="C545" s="1">
        <v>44758</v>
      </c>
      <c r="D545" t="s">
        <v>61</v>
      </c>
      <c r="E545" t="s">
        <v>67</v>
      </c>
      <c r="F545">
        <v>250</v>
      </c>
      <c r="G545" t="s">
        <v>2</v>
      </c>
      <c r="H545" s="2">
        <v>1</v>
      </c>
      <c r="I545" s="3">
        <f t="shared" ca="1" si="0"/>
        <v>0.41482719775595489</v>
      </c>
      <c r="J545">
        <f>PRODUCT(Table3[[#This Row],[Price of One Product]],Table3[[#This Row],[No of Products in one Sale]])</f>
        <v>250</v>
      </c>
      <c r="K545" s="6">
        <f ca="1">Table3[[#This Row],[Actual Sale]]*(1-Table3[[#This Row],[Discount]])</f>
        <v>146.29320056101128</v>
      </c>
      <c r="L545" t="str">
        <f>TEXT(Table3[[#This Row],[Sale Date]],"dddd")</f>
        <v>Saturday</v>
      </c>
    </row>
    <row r="546" spans="1:12" x14ac:dyDescent="0.3">
      <c r="A546" t="s">
        <v>569</v>
      </c>
      <c r="B546" t="s">
        <v>54</v>
      </c>
      <c r="C546" s="1">
        <v>44788</v>
      </c>
      <c r="D546" t="s">
        <v>62</v>
      </c>
      <c r="E546" t="s">
        <v>67</v>
      </c>
      <c r="F546">
        <v>130</v>
      </c>
      <c r="G546" t="s">
        <v>0</v>
      </c>
      <c r="H546" s="2">
        <v>3</v>
      </c>
      <c r="I546" s="3">
        <f t="shared" ca="1" si="0"/>
        <v>0.84135590568171115</v>
      </c>
      <c r="J546">
        <f>PRODUCT(Table3[[#This Row],[Price of One Product]],Table3[[#This Row],[No of Products in one Sale]])</f>
        <v>390</v>
      </c>
      <c r="K546" s="6">
        <f ca="1">Table3[[#This Row],[Actual Sale]]*(1-Table3[[#This Row],[Discount]])</f>
        <v>61.87119678413265</v>
      </c>
      <c r="L546" t="str">
        <f>TEXT(Table3[[#This Row],[Sale Date]],"dddd")</f>
        <v>Monday</v>
      </c>
    </row>
    <row r="547" spans="1:12" x14ac:dyDescent="0.3">
      <c r="A547" t="s">
        <v>570</v>
      </c>
      <c r="B547" t="s">
        <v>51</v>
      </c>
      <c r="C547" s="1">
        <v>44793</v>
      </c>
      <c r="D547" t="s">
        <v>59</v>
      </c>
      <c r="E547" t="s">
        <v>66</v>
      </c>
      <c r="F547">
        <v>72</v>
      </c>
      <c r="G547" t="s">
        <v>0</v>
      </c>
      <c r="H547" s="2">
        <v>10</v>
      </c>
      <c r="I547" s="3">
        <f t="shared" ca="1" si="0"/>
        <v>0.51864269749114367</v>
      </c>
      <c r="J547">
        <f>PRODUCT(Table3[[#This Row],[Price of One Product]],Table3[[#This Row],[No of Products in one Sale]])</f>
        <v>720</v>
      </c>
      <c r="K547" s="6">
        <f ca="1">Table3[[#This Row],[Actual Sale]]*(1-Table3[[#This Row],[Discount]])</f>
        <v>346.57725780637656</v>
      </c>
      <c r="L547" t="str">
        <f>TEXT(Table3[[#This Row],[Sale Date]],"dddd")</f>
        <v>Saturday</v>
      </c>
    </row>
    <row r="548" spans="1:12" x14ac:dyDescent="0.3">
      <c r="A548" t="s">
        <v>571</v>
      </c>
      <c r="B548" t="s">
        <v>52</v>
      </c>
      <c r="C548" s="1">
        <v>44784</v>
      </c>
      <c r="D548" t="s">
        <v>60</v>
      </c>
      <c r="E548" t="s">
        <v>67</v>
      </c>
      <c r="F548">
        <v>65</v>
      </c>
      <c r="G548" t="s">
        <v>1</v>
      </c>
      <c r="H548" s="2">
        <v>6</v>
      </c>
      <c r="I548" s="3">
        <f t="shared" ca="1" si="0"/>
        <v>0.65638694735980474</v>
      </c>
      <c r="J548">
        <f>PRODUCT(Table3[[#This Row],[Price of One Product]],Table3[[#This Row],[No of Products in one Sale]])</f>
        <v>390</v>
      </c>
      <c r="K548" s="6">
        <f ca="1">Table3[[#This Row],[Actual Sale]]*(1-Table3[[#This Row],[Discount]])</f>
        <v>134.00909052967614</v>
      </c>
      <c r="L548" t="str">
        <f>TEXT(Table3[[#This Row],[Sale Date]],"dddd")</f>
        <v>Thursday</v>
      </c>
    </row>
    <row r="549" spans="1:12" x14ac:dyDescent="0.3">
      <c r="A549" t="s">
        <v>572</v>
      </c>
      <c r="B549" t="s">
        <v>53</v>
      </c>
      <c r="C549" s="1">
        <v>44793</v>
      </c>
      <c r="D549" t="s">
        <v>61</v>
      </c>
      <c r="E549" t="s">
        <v>66</v>
      </c>
      <c r="F549">
        <v>250</v>
      </c>
      <c r="G549" t="s">
        <v>2</v>
      </c>
      <c r="H549" s="2">
        <v>2</v>
      </c>
      <c r="I549" s="3">
        <f t="shared" ca="1" si="0"/>
        <v>0.79865355800896454</v>
      </c>
      <c r="J549">
        <f>PRODUCT(Table3[[#This Row],[Price of One Product]],Table3[[#This Row],[No of Products in one Sale]])</f>
        <v>500</v>
      </c>
      <c r="K549" s="6">
        <f ca="1">Table3[[#This Row],[Actual Sale]]*(1-Table3[[#This Row],[Discount]])</f>
        <v>100.67322099551774</v>
      </c>
      <c r="L549" t="str">
        <f>TEXT(Table3[[#This Row],[Sale Date]],"dddd")</f>
        <v>Saturday</v>
      </c>
    </row>
    <row r="550" spans="1:12" x14ac:dyDescent="0.3">
      <c r="A550" t="s">
        <v>573</v>
      </c>
      <c r="B550" t="s">
        <v>54</v>
      </c>
      <c r="C550" s="1">
        <v>44796</v>
      </c>
      <c r="D550" t="s">
        <v>62</v>
      </c>
      <c r="E550" t="s">
        <v>67</v>
      </c>
      <c r="F550">
        <v>130</v>
      </c>
      <c r="G550" t="s">
        <v>0</v>
      </c>
      <c r="H550" s="2">
        <v>5</v>
      </c>
      <c r="I550" s="3">
        <f t="shared" ca="1" si="0"/>
        <v>0.70524959897558259</v>
      </c>
      <c r="J550">
        <f>PRODUCT(Table3[[#This Row],[Price of One Product]],Table3[[#This Row],[No of Products in one Sale]])</f>
        <v>650</v>
      </c>
      <c r="K550" s="6">
        <f ca="1">Table3[[#This Row],[Actual Sale]]*(1-Table3[[#This Row],[Discount]])</f>
        <v>191.58776066587131</v>
      </c>
      <c r="L550" t="str">
        <f>TEXT(Table3[[#This Row],[Sale Date]],"dddd")</f>
        <v>Tuesday</v>
      </c>
    </row>
    <row r="551" spans="1:12" x14ac:dyDescent="0.3">
      <c r="A551" t="s">
        <v>574</v>
      </c>
      <c r="B551" t="s">
        <v>51</v>
      </c>
      <c r="C551" s="1">
        <v>44758</v>
      </c>
      <c r="D551" t="s">
        <v>59</v>
      </c>
      <c r="E551" t="s">
        <v>66</v>
      </c>
      <c r="F551">
        <v>72</v>
      </c>
      <c r="G551" t="s">
        <v>1</v>
      </c>
      <c r="H551" s="2">
        <v>9</v>
      </c>
      <c r="I551" s="3">
        <f t="shared" ca="1" si="0"/>
        <v>7.0189252235543509E-2</v>
      </c>
      <c r="J551">
        <f>PRODUCT(Table3[[#This Row],[Price of One Product]],Table3[[#This Row],[No of Products in one Sale]])</f>
        <v>648</v>
      </c>
      <c r="K551" s="6">
        <f ca="1">Table3[[#This Row],[Actual Sale]]*(1-Table3[[#This Row],[Discount]])</f>
        <v>602.51736455136779</v>
      </c>
      <c r="L551" t="str">
        <f>TEXT(Table3[[#This Row],[Sale Date]],"dddd")</f>
        <v>Saturday</v>
      </c>
    </row>
    <row r="552" spans="1:12" x14ac:dyDescent="0.3">
      <c r="A552" t="s">
        <v>575</v>
      </c>
      <c r="B552" t="s">
        <v>52</v>
      </c>
      <c r="C552" s="1">
        <v>44757</v>
      </c>
      <c r="D552" t="s">
        <v>60</v>
      </c>
      <c r="E552" t="s">
        <v>67</v>
      </c>
      <c r="F552">
        <v>65</v>
      </c>
      <c r="G552" t="s">
        <v>2</v>
      </c>
      <c r="H552" s="2">
        <v>5</v>
      </c>
      <c r="I552" s="3">
        <f t="shared" ca="1" si="0"/>
        <v>0.48004549633789129</v>
      </c>
      <c r="J552">
        <f>PRODUCT(Table3[[#This Row],[Price of One Product]],Table3[[#This Row],[No of Products in one Sale]])</f>
        <v>325</v>
      </c>
      <c r="K552" s="6">
        <f ca="1">Table3[[#This Row],[Actual Sale]]*(1-Table3[[#This Row],[Discount]])</f>
        <v>168.98521369018533</v>
      </c>
      <c r="L552" t="str">
        <f>TEXT(Table3[[#This Row],[Sale Date]],"dddd")</f>
        <v>Friday</v>
      </c>
    </row>
    <row r="553" spans="1:12" x14ac:dyDescent="0.3">
      <c r="A553" t="s">
        <v>576</v>
      </c>
      <c r="B553" t="s">
        <v>53</v>
      </c>
      <c r="C553" s="1">
        <v>44758</v>
      </c>
      <c r="D553" t="s">
        <v>61</v>
      </c>
      <c r="E553" t="s">
        <v>66</v>
      </c>
      <c r="F553">
        <v>250</v>
      </c>
      <c r="G553" t="s">
        <v>0</v>
      </c>
      <c r="H553" s="2">
        <v>1</v>
      </c>
      <c r="I553" s="3">
        <f t="shared" ca="1" si="0"/>
        <v>0.47242528090382641</v>
      </c>
      <c r="J553">
        <f>PRODUCT(Table3[[#This Row],[Price of One Product]],Table3[[#This Row],[No of Products in one Sale]])</f>
        <v>250</v>
      </c>
      <c r="K553" s="6">
        <f ca="1">Table3[[#This Row],[Actual Sale]]*(1-Table3[[#This Row],[Discount]])</f>
        <v>131.89367977404339</v>
      </c>
      <c r="L553" t="str">
        <f>TEXT(Table3[[#This Row],[Sale Date]],"dddd")</f>
        <v>Saturday</v>
      </c>
    </row>
    <row r="554" spans="1:12" x14ac:dyDescent="0.3">
      <c r="A554" t="s">
        <v>577</v>
      </c>
      <c r="B554" t="s">
        <v>54</v>
      </c>
      <c r="C554" s="1">
        <v>44800</v>
      </c>
      <c r="D554" t="s">
        <v>62</v>
      </c>
      <c r="E554" t="s">
        <v>67</v>
      </c>
      <c r="F554">
        <v>130</v>
      </c>
      <c r="G554" t="s">
        <v>1</v>
      </c>
      <c r="H554" s="2">
        <v>3</v>
      </c>
      <c r="I554" s="3">
        <f t="shared" ca="1" si="0"/>
        <v>8.0324036736705962E-2</v>
      </c>
      <c r="J554">
        <f>PRODUCT(Table3[[#This Row],[Price of One Product]],Table3[[#This Row],[No of Products in one Sale]])</f>
        <v>390</v>
      </c>
      <c r="K554" s="6">
        <f ca="1">Table3[[#This Row],[Actual Sale]]*(1-Table3[[#This Row],[Discount]])</f>
        <v>358.67362567268469</v>
      </c>
      <c r="L554" t="str">
        <f>TEXT(Table3[[#This Row],[Sale Date]],"dddd")</f>
        <v>Saturday</v>
      </c>
    </row>
    <row r="555" spans="1:12" x14ac:dyDescent="0.3">
      <c r="A555" t="s">
        <v>578</v>
      </c>
      <c r="B555" t="s">
        <v>55</v>
      </c>
      <c r="C555" s="1">
        <v>44780</v>
      </c>
      <c r="D555" t="s">
        <v>63</v>
      </c>
      <c r="E555" t="s">
        <v>66</v>
      </c>
      <c r="F555">
        <v>60</v>
      </c>
      <c r="G555" t="s">
        <v>2</v>
      </c>
      <c r="H555" s="2">
        <v>7</v>
      </c>
      <c r="I555" s="3">
        <f t="shared" ca="1" si="0"/>
        <v>0.60659184045322789</v>
      </c>
      <c r="J555">
        <f>PRODUCT(Table3[[#This Row],[Price of One Product]],Table3[[#This Row],[No of Products in one Sale]])</f>
        <v>420</v>
      </c>
      <c r="K555" s="6">
        <f ca="1">Table3[[#This Row],[Actual Sale]]*(1-Table3[[#This Row],[Discount]])</f>
        <v>165.23142700964428</v>
      </c>
      <c r="L555" t="str">
        <f>TEXT(Table3[[#This Row],[Sale Date]],"dddd")</f>
        <v>Sunday</v>
      </c>
    </row>
    <row r="556" spans="1:12" x14ac:dyDescent="0.3">
      <c r="A556" t="s">
        <v>579</v>
      </c>
      <c r="B556" t="s">
        <v>51</v>
      </c>
      <c r="C556" s="1">
        <v>44807</v>
      </c>
      <c r="D556" t="s">
        <v>59</v>
      </c>
      <c r="E556" t="s">
        <v>67</v>
      </c>
      <c r="F556">
        <v>72</v>
      </c>
      <c r="G556" t="s">
        <v>0</v>
      </c>
      <c r="H556" s="2">
        <v>12</v>
      </c>
      <c r="I556" s="3">
        <f t="shared" ca="1" si="0"/>
        <v>0.95250806737942784</v>
      </c>
      <c r="J556">
        <f>PRODUCT(Table3[[#This Row],[Price of One Product]],Table3[[#This Row],[No of Products in one Sale]])</f>
        <v>864</v>
      </c>
      <c r="K556" s="6">
        <f ca="1">Table3[[#This Row],[Actual Sale]]*(1-Table3[[#This Row],[Discount]])</f>
        <v>41.033029784174346</v>
      </c>
      <c r="L556" t="str">
        <f>TEXT(Table3[[#This Row],[Sale Date]],"dddd")</f>
        <v>Saturday</v>
      </c>
    </row>
    <row r="557" spans="1:12" x14ac:dyDescent="0.3">
      <c r="A557" t="s">
        <v>580</v>
      </c>
      <c r="B557" t="s">
        <v>52</v>
      </c>
      <c r="C557" s="1">
        <v>44798</v>
      </c>
      <c r="D557" t="s">
        <v>60</v>
      </c>
      <c r="E557" t="s">
        <v>66</v>
      </c>
      <c r="F557">
        <v>65</v>
      </c>
      <c r="G557" t="s">
        <v>1</v>
      </c>
      <c r="H557" s="2">
        <v>12</v>
      </c>
      <c r="I557" s="3">
        <f t="shared" ca="1" si="0"/>
        <v>0.38039893875125563</v>
      </c>
      <c r="J557">
        <f>PRODUCT(Table3[[#This Row],[Price of One Product]],Table3[[#This Row],[No of Products in one Sale]])</f>
        <v>780</v>
      </c>
      <c r="K557" s="6">
        <f ca="1">Table3[[#This Row],[Actual Sale]]*(1-Table3[[#This Row],[Discount]])</f>
        <v>483.2888277740206</v>
      </c>
      <c r="L557" t="str">
        <f>TEXT(Table3[[#This Row],[Sale Date]],"dddd")</f>
        <v>Thursday</v>
      </c>
    </row>
    <row r="558" spans="1:12" x14ac:dyDescent="0.3">
      <c r="A558" t="s">
        <v>581</v>
      </c>
      <c r="B558" t="s">
        <v>53</v>
      </c>
      <c r="C558" s="1">
        <v>44810</v>
      </c>
      <c r="D558" t="s">
        <v>61</v>
      </c>
      <c r="E558" t="s">
        <v>67</v>
      </c>
      <c r="F558">
        <v>250</v>
      </c>
      <c r="G558" t="s">
        <v>2</v>
      </c>
      <c r="H558" s="2">
        <v>3</v>
      </c>
      <c r="I558" s="3">
        <f t="shared" ca="1" si="0"/>
        <v>0.56948226649650024</v>
      </c>
      <c r="J558">
        <f>PRODUCT(Table3[[#This Row],[Price of One Product]],Table3[[#This Row],[No of Products in one Sale]])</f>
        <v>750</v>
      </c>
      <c r="K558" s="6">
        <f ca="1">Table3[[#This Row],[Actual Sale]]*(1-Table3[[#This Row],[Discount]])</f>
        <v>322.8883001276248</v>
      </c>
      <c r="L558" t="str">
        <f>TEXT(Table3[[#This Row],[Sale Date]],"dddd")</f>
        <v>Tuesday</v>
      </c>
    </row>
    <row r="559" spans="1:12" x14ac:dyDescent="0.3">
      <c r="A559" t="s">
        <v>582</v>
      </c>
      <c r="B559" t="s">
        <v>54</v>
      </c>
      <c r="C559" s="1">
        <v>44764</v>
      </c>
      <c r="D559" t="s">
        <v>62</v>
      </c>
      <c r="E559" t="s">
        <v>66</v>
      </c>
      <c r="F559">
        <v>130</v>
      </c>
      <c r="G559" t="s">
        <v>0</v>
      </c>
      <c r="H559" s="2">
        <v>5</v>
      </c>
      <c r="I559" s="3">
        <f t="shared" ca="1" si="0"/>
        <v>7.5135383724595162E-2</v>
      </c>
      <c r="J559">
        <f>PRODUCT(Table3[[#This Row],[Price of One Product]],Table3[[#This Row],[No of Products in one Sale]])</f>
        <v>650</v>
      </c>
      <c r="K559" s="6">
        <f ca="1">Table3[[#This Row],[Actual Sale]]*(1-Table3[[#This Row],[Discount]])</f>
        <v>601.16200057901312</v>
      </c>
      <c r="L559" t="str">
        <f>TEXT(Table3[[#This Row],[Sale Date]],"dddd")</f>
        <v>Friday</v>
      </c>
    </row>
    <row r="560" spans="1:12" x14ac:dyDescent="0.3">
      <c r="A560" t="s">
        <v>583</v>
      </c>
      <c r="B560" t="s">
        <v>51</v>
      </c>
      <c r="C560" s="1">
        <v>44766</v>
      </c>
      <c r="D560" t="s">
        <v>59</v>
      </c>
      <c r="E560" t="s">
        <v>67</v>
      </c>
      <c r="F560">
        <v>72</v>
      </c>
      <c r="G560" t="s">
        <v>1</v>
      </c>
      <c r="H560" s="2">
        <v>4</v>
      </c>
      <c r="I560" s="3">
        <f t="shared" ca="1" si="0"/>
        <v>7.2270617493970568E-2</v>
      </c>
      <c r="J560">
        <f>PRODUCT(Table3[[#This Row],[Price of One Product]],Table3[[#This Row],[No of Products in one Sale]])</f>
        <v>288</v>
      </c>
      <c r="K560" s="6">
        <f ca="1">Table3[[#This Row],[Actual Sale]]*(1-Table3[[#This Row],[Discount]])</f>
        <v>267.18606216173646</v>
      </c>
      <c r="L560" t="str">
        <f>TEXT(Table3[[#This Row],[Sale Date]],"dddd")</f>
        <v>Sunday</v>
      </c>
    </row>
    <row r="561" spans="1:12" x14ac:dyDescent="0.3">
      <c r="A561" t="s">
        <v>584</v>
      </c>
      <c r="B561" t="s">
        <v>52</v>
      </c>
      <c r="C561" s="1">
        <v>44794</v>
      </c>
      <c r="D561" t="s">
        <v>60</v>
      </c>
      <c r="E561" t="s">
        <v>66</v>
      </c>
      <c r="F561">
        <v>65</v>
      </c>
      <c r="G561" t="s">
        <v>2</v>
      </c>
      <c r="H561" s="2">
        <v>9</v>
      </c>
      <c r="I561" s="3">
        <f t="shared" ca="1" si="0"/>
        <v>0.54991938585083933</v>
      </c>
      <c r="J561">
        <f>PRODUCT(Table3[[#This Row],[Price of One Product]],Table3[[#This Row],[No of Products in one Sale]])</f>
        <v>585</v>
      </c>
      <c r="K561" s="6">
        <f ca="1">Table3[[#This Row],[Actual Sale]]*(1-Table3[[#This Row],[Discount]])</f>
        <v>263.29715927725897</v>
      </c>
      <c r="L561" t="str">
        <f>TEXT(Table3[[#This Row],[Sale Date]],"dddd")</f>
        <v>Sunday</v>
      </c>
    </row>
    <row r="562" spans="1:12" x14ac:dyDescent="0.3">
      <c r="A562" t="s">
        <v>585</v>
      </c>
      <c r="B562" t="s">
        <v>53</v>
      </c>
      <c r="C562" s="1">
        <v>44800</v>
      </c>
      <c r="D562" t="s">
        <v>61</v>
      </c>
      <c r="E562" t="s">
        <v>67</v>
      </c>
      <c r="F562">
        <v>250</v>
      </c>
      <c r="G562" t="s">
        <v>0</v>
      </c>
      <c r="H562" s="2">
        <v>3</v>
      </c>
      <c r="I562" s="3">
        <f t="shared" ca="1" si="0"/>
        <v>4.8654006131286787E-2</v>
      </c>
      <c r="J562">
        <f>PRODUCT(Table3[[#This Row],[Price of One Product]],Table3[[#This Row],[No of Products in one Sale]])</f>
        <v>750</v>
      </c>
      <c r="K562" s="6">
        <f ca="1">Table3[[#This Row],[Actual Sale]]*(1-Table3[[#This Row],[Discount]])</f>
        <v>713.50949540153488</v>
      </c>
      <c r="L562" t="str">
        <f>TEXT(Table3[[#This Row],[Sale Date]],"dddd")</f>
        <v>Saturday</v>
      </c>
    </row>
    <row r="563" spans="1:12" x14ac:dyDescent="0.3">
      <c r="A563" t="s">
        <v>586</v>
      </c>
      <c r="B563" t="s">
        <v>54</v>
      </c>
      <c r="C563" s="1">
        <v>44792</v>
      </c>
      <c r="D563" t="s">
        <v>62</v>
      </c>
      <c r="E563" t="s">
        <v>66</v>
      </c>
      <c r="F563">
        <v>130</v>
      </c>
      <c r="G563" t="s">
        <v>1</v>
      </c>
      <c r="H563" s="2">
        <v>5</v>
      </c>
      <c r="I563" s="3">
        <f t="shared" ca="1" si="0"/>
        <v>0.66965168130009001</v>
      </c>
      <c r="J563">
        <f>PRODUCT(Table3[[#This Row],[Price of One Product]],Table3[[#This Row],[No of Products in one Sale]])</f>
        <v>650</v>
      </c>
      <c r="K563" s="6">
        <f ca="1">Table3[[#This Row],[Actual Sale]]*(1-Table3[[#This Row],[Discount]])</f>
        <v>214.72640715494148</v>
      </c>
      <c r="L563" t="str">
        <f>TEXT(Table3[[#This Row],[Sale Date]],"dddd")</f>
        <v>Friday</v>
      </c>
    </row>
    <row r="564" spans="1:12" x14ac:dyDescent="0.3">
      <c r="A564" t="s">
        <v>587</v>
      </c>
      <c r="B564" t="s">
        <v>55</v>
      </c>
      <c r="C564" s="1">
        <v>44809</v>
      </c>
      <c r="D564" t="s">
        <v>63</v>
      </c>
      <c r="E564" t="s">
        <v>66</v>
      </c>
      <c r="F564">
        <v>60</v>
      </c>
      <c r="G564" t="s">
        <v>2</v>
      </c>
      <c r="H564" s="2">
        <v>4</v>
      </c>
      <c r="I564" s="3">
        <f t="shared" ca="1" si="0"/>
        <v>0.40626964942585986</v>
      </c>
      <c r="J564">
        <f>PRODUCT(Table3[[#This Row],[Price of One Product]],Table3[[#This Row],[No of Products in one Sale]])</f>
        <v>240</v>
      </c>
      <c r="K564" s="6">
        <f ca="1">Table3[[#This Row],[Actual Sale]]*(1-Table3[[#This Row],[Discount]])</f>
        <v>142.49528413779365</v>
      </c>
      <c r="L564" t="str">
        <f>TEXT(Table3[[#This Row],[Sale Date]],"dddd")</f>
        <v>Monday</v>
      </c>
    </row>
    <row r="565" spans="1:12" x14ac:dyDescent="0.3">
      <c r="A565" t="s">
        <v>588</v>
      </c>
      <c r="B565" t="s">
        <v>56</v>
      </c>
      <c r="C565" s="1">
        <v>44789</v>
      </c>
      <c r="D565" t="s">
        <v>64</v>
      </c>
      <c r="E565" t="s">
        <v>67</v>
      </c>
      <c r="F565">
        <v>95</v>
      </c>
      <c r="G565" t="s">
        <v>0</v>
      </c>
      <c r="H565" s="2">
        <v>8</v>
      </c>
      <c r="I565" s="3">
        <f t="shared" ca="1" si="0"/>
        <v>3.8780862956630635E-2</v>
      </c>
      <c r="J565">
        <f>PRODUCT(Table3[[#This Row],[Price of One Product]],Table3[[#This Row],[No of Products in one Sale]])</f>
        <v>760</v>
      </c>
      <c r="K565" s="6">
        <f ca="1">Table3[[#This Row],[Actual Sale]]*(1-Table3[[#This Row],[Discount]])</f>
        <v>730.5265441529607</v>
      </c>
      <c r="L565" t="str">
        <f>TEXT(Table3[[#This Row],[Sale Date]],"dddd")</f>
        <v>Tuesday</v>
      </c>
    </row>
    <row r="566" spans="1:12" x14ac:dyDescent="0.3">
      <c r="A566" t="s">
        <v>589</v>
      </c>
      <c r="B566" t="s">
        <v>51</v>
      </c>
      <c r="C566" s="1">
        <v>44757</v>
      </c>
      <c r="D566" t="s">
        <v>59</v>
      </c>
      <c r="E566" t="s">
        <v>67</v>
      </c>
      <c r="F566">
        <v>72</v>
      </c>
      <c r="G566" t="s">
        <v>1</v>
      </c>
      <c r="H566" s="2">
        <v>9</v>
      </c>
      <c r="I566" s="3">
        <f t="shared" ref="I566:I629" ca="1" si="1">RAND()</f>
        <v>1.3285245602373208E-2</v>
      </c>
      <c r="J566">
        <f>PRODUCT(Table3[[#This Row],[Price of One Product]],Table3[[#This Row],[No of Products in one Sale]])</f>
        <v>648</v>
      </c>
      <c r="K566" s="6">
        <f ca="1">Table3[[#This Row],[Actual Sale]]*(1-Table3[[#This Row],[Discount]])</f>
        <v>639.39116084966213</v>
      </c>
      <c r="L566" t="str">
        <f>TEXT(Table3[[#This Row],[Sale Date]],"dddd")</f>
        <v>Friday</v>
      </c>
    </row>
    <row r="567" spans="1:12" x14ac:dyDescent="0.3">
      <c r="A567" t="s">
        <v>590</v>
      </c>
      <c r="B567" t="s">
        <v>52</v>
      </c>
      <c r="C567" s="1">
        <v>44790</v>
      </c>
      <c r="D567" t="s">
        <v>60</v>
      </c>
      <c r="E567" t="s">
        <v>67</v>
      </c>
      <c r="F567">
        <v>65</v>
      </c>
      <c r="G567" t="s">
        <v>2</v>
      </c>
      <c r="H567" s="2">
        <v>6</v>
      </c>
      <c r="I567" s="3">
        <f t="shared" ca="1" si="1"/>
        <v>0.54715239825023776</v>
      </c>
      <c r="J567">
        <f>PRODUCT(Table3[[#This Row],[Price of One Product]],Table3[[#This Row],[No of Products in one Sale]])</f>
        <v>390</v>
      </c>
      <c r="K567" s="6">
        <f ca="1">Table3[[#This Row],[Actual Sale]]*(1-Table3[[#This Row],[Discount]])</f>
        <v>176.61056468240727</v>
      </c>
      <c r="L567" t="str">
        <f>TEXT(Table3[[#This Row],[Sale Date]],"dddd")</f>
        <v>Wednesday</v>
      </c>
    </row>
    <row r="568" spans="1:12" x14ac:dyDescent="0.3">
      <c r="A568" t="s">
        <v>591</v>
      </c>
      <c r="B568" t="s">
        <v>53</v>
      </c>
      <c r="C568" s="1">
        <v>44808</v>
      </c>
      <c r="D568" t="s">
        <v>61</v>
      </c>
      <c r="E568" t="s">
        <v>66</v>
      </c>
      <c r="F568">
        <v>250</v>
      </c>
      <c r="G568" t="s">
        <v>0</v>
      </c>
      <c r="H568" s="2">
        <v>4</v>
      </c>
      <c r="I568" s="3">
        <f t="shared" ca="1" si="1"/>
        <v>0.93553719021906212</v>
      </c>
      <c r="J568">
        <f>PRODUCT(Table3[[#This Row],[Price of One Product]],Table3[[#This Row],[No of Products in one Sale]])</f>
        <v>1000</v>
      </c>
      <c r="K568" s="6">
        <f ca="1">Table3[[#This Row],[Actual Sale]]*(1-Table3[[#This Row],[Discount]])</f>
        <v>64.462809780937874</v>
      </c>
      <c r="L568" t="str">
        <f>TEXT(Table3[[#This Row],[Sale Date]],"dddd")</f>
        <v>Sunday</v>
      </c>
    </row>
    <row r="569" spans="1:12" x14ac:dyDescent="0.3">
      <c r="A569" t="s">
        <v>592</v>
      </c>
      <c r="B569" t="s">
        <v>54</v>
      </c>
      <c r="C569" s="1">
        <v>44801</v>
      </c>
      <c r="D569" t="s">
        <v>62</v>
      </c>
      <c r="E569" t="s">
        <v>66</v>
      </c>
      <c r="F569">
        <v>130</v>
      </c>
      <c r="G569" t="s">
        <v>1</v>
      </c>
      <c r="H569" s="2">
        <v>4</v>
      </c>
      <c r="I569" s="3">
        <f t="shared" ca="1" si="1"/>
        <v>0.62173902073769172</v>
      </c>
      <c r="J569">
        <f>PRODUCT(Table3[[#This Row],[Price of One Product]],Table3[[#This Row],[No of Products in one Sale]])</f>
        <v>520</v>
      </c>
      <c r="K569" s="6">
        <f ca="1">Table3[[#This Row],[Actual Sale]]*(1-Table3[[#This Row],[Discount]])</f>
        <v>196.6957092164003</v>
      </c>
      <c r="L569" t="str">
        <f>TEXT(Table3[[#This Row],[Sale Date]],"dddd")</f>
        <v>Sunday</v>
      </c>
    </row>
    <row r="570" spans="1:12" x14ac:dyDescent="0.3">
      <c r="A570" t="s">
        <v>593</v>
      </c>
      <c r="B570" t="s">
        <v>51</v>
      </c>
      <c r="C570" s="1">
        <v>44769</v>
      </c>
      <c r="D570" t="s">
        <v>59</v>
      </c>
      <c r="E570" t="s">
        <v>66</v>
      </c>
      <c r="F570">
        <v>72</v>
      </c>
      <c r="G570" t="s">
        <v>2</v>
      </c>
      <c r="H570" s="2">
        <v>9</v>
      </c>
      <c r="I570" s="3">
        <f t="shared" ca="1" si="1"/>
        <v>0.77684174432088671</v>
      </c>
      <c r="J570">
        <f>PRODUCT(Table3[[#This Row],[Price of One Product]],Table3[[#This Row],[No of Products in one Sale]])</f>
        <v>648</v>
      </c>
      <c r="K570" s="6">
        <f ca="1">Table3[[#This Row],[Actual Sale]]*(1-Table3[[#This Row],[Discount]])</f>
        <v>144.60654968006543</v>
      </c>
      <c r="L570" t="str">
        <f>TEXT(Table3[[#This Row],[Sale Date]],"dddd")</f>
        <v>Wednesday</v>
      </c>
    </row>
    <row r="571" spans="1:12" x14ac:dyDescent="0.3">
      <c r="A571" t="s">
        <v>594</v>
      </c>
      <c r="B571" t="s">
        <v>52</v>
      </c>
      <c r="C571" s="1">
        <v>44757</v>
      </c>
      <c r="D571" t="s">
        <v>60</v>
      </c>
      <c r="E571" t="s">
        <v>66</v>
      </c>
      <c r="F571">
        <v>65</v>
      </c>
      <c r="G571" t="s">
        <v>0</v>
      </c>
      <c r="H571" s="2">
        <v>8</v>
      </c>
      <c r="I571" s="3">
        <f t="shared" ca="1" si="1"/>
        <v>0.59309793343035389</v>
      </c>
      <c r="J571">
        <f>PRODUCT(Table3[[#This Row],[Price of One Product]],Table3[[#This Row],[No of Products in one Sale]])</f>
        <v>520</v>
      </c>
      <c r="K571" s="6">
        <f ca="1">Table3[[#This Row],[Actual Sale]]*(1-Table3[[#This Row],[Discount]])</f>
        <v>211.58907461621598</v>
      </c>
      <c r="L571" t="str">
        <f>TEXT(Table3[[#This Row],[Sale Date]],"dddd")</f>
        <v>Friday</v>
      </c>
    </row>
    <row r="572" spans="1:12" x14ac:dyDescent="0.3">
      <c r="A572" t="s">
        <v>595</v>
      </c>
      <c r="B572" t="s">
        <v>53</v>
      </c>
      <c r="C572" s="1">
        <v>44759</v>
      </c>
      <c r="D572" t="s">
        <v>61</v>
      </c>
      <c r="E572" t="s">
        <v>66</v>
      </c>
      <c r="F572">
        <v>250</v>
      </c>
      <c r="G572" t="s">
        <v>1</v>
      </c>
      <c r="H572" s="2">
        <v>1</v>
      </c>
      <c r="I572" s="3">
        <f t="shared" ca="1" si="1"/>
        <v>0.54113490511897544</v>
      </c>
      <c r="J572">
        <f>PRODUCT(Table3[[#This Row],[Price of One Product]],Table3[[#This Row],[No of Products in one Sale]])</f>
        <v>250</v>
      </c>
      <c r="K572" s="6">
        <f ca="1">Table3[[#This Row],[Actual Sale]]*(1-Table3[[#This Row],[Discount]])</f>
        <v>114.71627372025614</v>
      </c>
      <c r="L572" t="str">
        <f>TEXT(Table3[[#This Row],[Sale Date]],"dddd")</f>
        <v>Sunday</v>
      </c>
    </row>
    <row r="573" spans="1:12" x14ac:dyDescent="0.3">
      <c r="A573" t="s">
        <v>596</v>
      </c>
      <c r="B573" t="s">
        <v>54</v>
      </c>
      <c r="C573" s="1">
        <v>44805</v>
      </c>
      <c r="D573" t="s">
        <v>62</v>
      </c>
      <c r="E573" t="s">
        <v>66</v>
      </c>
      <c r="F573">
        <v>130</v>
      </c>
      <c r="G573" t="s">
        <v>2</v>
      </c>
      <c r="H573" s="2">
        <v>3</v>
      </c>
      <c r="I573" s="3">
        <f t="shared" ca="1" si="1"/>
        <v>0.15709146493562132</v>
      </c>
      <c r="J573">
        <f>PRODUCT(Table3[[#This Row],[Price of One Product]],Table3[[#This Row],[No of Products in one Sale]])</f>
        <v>390</v>
      </c>
      <c r="K573" s="6">
        <f ca="1">Table3[[#This Row],[Actual Sale]]*(1-Table3[[#This Row],[Discount]])</f>
        <v>328.73432867510769</v>
      </c>
      <c r="L573" t="str">
        <f>TEXT(Table3[[#This Row],[Sale Date]],"dddd")</f>
        <v>Thursday</v>
      </c>
    </row>
    <row r="574" spans="1:12" x14ac:dyDescent="0.3">
      <c r="A574" t="s">
        <v>597</v>
      </c>
      <c r="B574" t="s">
        <v>55</v>
      </c>
      <c r="C574" s="1">
        <v>44760</v>
      </c>
      <c r="D574" t="s">
        <v>63</v>
      </c>
      <c r="E574" t="s">
        <v>66</v>
      </c>
      <c r="F574">
        <v>60</v>
      </c>
      <c r="G574" t="s">
        <v>0</v>
      </c>
      <c r="H574" s="2">
        <v>13</v>
      </c>
      <c r="I574" s="3">
        <f t="shared" ca="1" si="1"/>
        <v>0.12763633405277941</v>
      </c>
      <c r="J574">
        <f>PRODUCT(Table3[[#This Row],[Price of One Product]],Table3[[#This Row],[No of Products in one Sale]])</f>
        <v>780</v>
      </c>
      <c r="K574" s="6">
        <f ca="1">Table3[[#This Row],[Actual Sale]]*(1-Table3[[#This Row],[Discount]])</f>
        <v>680.44365943883201</v>
      </c>
      <c r="L574" t="str">
        <f>TEXT(Table3[[#This Row],[Sale Date]],"dddd")</f>
        <v>Monday</v>
      </c>
    </row>
    <row r="575" spans="1:12" x14ac:dyDescent="0.3">
      <c r="A575" t="s">
        <v>598</v>
      </c>
      <c r="B575" t="s">
        <v>51</v>
      </c>
      <c r="C575" s="1">
        <v>44791</v>
      </c>
      <c r="D575" t="s">
        <v>59</v>
      </c>
      <c r="E575" t="s">
        <v>66</v>
      </c>
      <c r="F575">
        <v>72</v>
      </c>
      <c r="G575" t="s">
        <v>1</v>
      </c>
      <c r="H575" s="2">
        <v>4</v>
      </c>
      <c r="I575" s="3">
        <f t="shared" ca="1" si="1"/>
        <v>0.58336339071983478</v>
      </c>
      <c r="J575">
        <f>PRODUCT(Table3[[#This Row],[Price of One Product]],Table3[[#This Row],[No of Products in one Sale]])</f>
        <v>288</v>
      </c>
      <c r="K575" s="6">
        <f ca="1">Table3[[#This Row],[Actual Sale]]*(1-Table3[[#This Row],[Discount]])</f>
        <v>119.99134347268759</v>
      </c>
      <c r="L575" t="str">
        <f>TEXT(Table3[[#This Row],[Sale Date]],"dddd")</f>
        <v>Thursday</v>
      </c>
    </row>
    <row r="576" spans="1:12" x14ac:dyDescent="0.3">
      <c r="A576" t="s">
        <v>599</v>
      </c>
      <c r="B576" t="s">
        <v>52</v>
      </c>
      <c r="C576" s="1">
        <v>44768</v>
      </c>
      <c r="D576" t="s">
        <v>60</v>
      </c>
      <c r="E576" t="s">
        <v>66</v>
      </c>
      <c r="F576">
        <v>65</v>
      </c>
      <c r="G576" t="s">
        <v>2</v>
      </c>
      <c r="H576" s="2">
        <v>12</v>
      </c>
      <c r="I576" s="3">
        <f t="shared" ca="1" si="1"/>
        <v>0.60262535348181745</v>
      </c>
      <c r="J576">
        <f>PRODUCT(Table3[[#This Row],[Price of One Product]],Table3[[#This Row],[No of Products in one Sale]])</f>
        <v>780</v>
      </c>
      <c r="K576" s="6">
        <f ca="1">Table3[[#This Row],[Actual Sale]]*(1-Table3[[#This Row],[Discount]])</f>
        <v>309.95222428418236</v>
      </c>
      <c r="L576" t="str">
        <f>TEXT(Table3[[#This Row],[Sale Date]],"dddd")</f>
        <v>Tuesday</v>
      </c>
    </row>
    <row r="577" spans="1:12" x14ac:dyDescent="0.3">
      <c r="A577" t="s">
        <v>600</v>
      </c>
      <c r="B577" t="s">
        <v>53</v>
      </c>
      <c r="C577" s="1">
        <v>44759</v>
      </c>
      <c r="D577" t="s">
        <v>61</v>
      </c>
      <c r="E577" t="s">
        <v>67</v>
      </c>
      <c r="F577">
        <v>250</v>
      </c>
      <c r="G577" t="s">
        <v>0</v>
      </c>
      <c r="H577" s="2">
        <v>3</v>
      </c>
      <c r="I577" s="3">
        <f t="shared" ca="1" si="1"/>
        <v>9.4421950243433805E-2</v>
      </c>
      <c r="J577">
        <f>PRODUCT(Table3[[#This Row],[Price of One Product]],Table3[[#This Row],[No of Products in one Sale]])</f>
        <v>750</v>
      </c>
      <c r="K577" s="6">
        <f ca="1">Table3[[#This Row],[Actual Sale]]*(1-Table3[[#This Row],[Discount]])</f>
        <v>679.18353731742468</v>
      </c>
      <c r="L577" t="str">
        <f>TEXT(Table3[[#This Row],[Sale Date]],"dddd")</f>
        <v>Sunday</v>
      </c>
    </row>
    <row r="578" spans="1:12" x14ac:dyDescent="0.3">
      <c r="A578" t="s">
        <v>601</v>
      </c>
      <c r="B578" t="s">
        <v>54</v>
      </c>
      <c r="C578" s="1">
        <v>44781</v>
      </c>
      <c r="D578" t="s">
        <v>62</v>
      </c>
      <c r="E578" t="s">
        <v>66</v>
      </c>
      <c r="F578">
        <v>130</v>
      </c>
      <c r="G578" t="s">
        <v>1</v>
      </c>
      <c r="H578" s="2">
        <v>6</v>
      </c>
      <c r="I578" s="3">
        <f t="shared" ca="1" si="1"/>
        <v>0.76699091763758875</v>
      </c>
      <c r="J578">
        <f>PRODUCT(Table3[[#This Row],[Price of One Product]],Table3[[#This Row],[No of Products in one Sale]])</f>
        <v>780</v>
      </c>
      <c r="K578" s="6">
        <f ca="1">Table3[[#This Row],[Actual Sale]]*(1-Table3[[#This Row],[Discount]])</f>
        <v>181.74708424268078</v>
      </c>
      <c r="L578" t="str">
        <f>TEXT(Table3[[#This Row],[Sale Date]],"dddd")</f>
        <v>Monday</v>
      </c>
    </row>
    <row r="579" spans="1:12" x14ac:dyDescent="0.3">
      <c r="A579" t="s">
        <v>602</v>
      </c>
      <c r="B579" t="s">
        <v>51</v>
      </c>
      <c r="C579" s="1">
        <v>44785</v>
      </c>
      <c r="D579" t="s">
        <v>59</v>
      </c>
      <c r="E579" t="s">
        <v>66</v>
      </c>
      <c r="F579">
        <v>72</v>
      </c>
      <c r="G579" t="s">
        <v>2</v>
      </c>
      <c r="H579" s="2">
        <v>5</v>
      </c>
      <c r="I579" s="3">
        <f t="shared" ca="1" si="1"/>
        <v>0.12513070975197349</v>
      </c>
      <c r="J579">
        <f>PRODUCT(Table3[[#This Row],[Price of One Product]],Table3[[#This Row],[No of Products in one Sale]])</f>
        <v>360</v>
      </c>
      <c r="K579" s="6">
        <f ca="1">Table3[[#This Row],[Actual Sale]]*(1-Table3[[#This Row],[Discount]])</f>
        <v>314.95294448928956</v>
      </c>
      <c r="L579" t="str">
        <f>TEXT(Table3[[#This Row],[Sale Date]],"dddd")</f>
        <v>Friday</v>
      </c>
    </row>
    <row r="580" spans="1:12" x14ac:dyDescent="0.3">
      <c r="A580" t="s">
        <v>603</v>
      </c>
      <c r="B580" t="s">
        <v>52</v>
      </c>
      <c r="C580" s="1">
        <v>44775</v>
      </c>
      <c r="D580" t="s">
        <v>60</v>
      </c>
      <c r="E580" t="s">
        <v>66</v>
      </c>
      <c r="F580">
        <v>65</v>
      </c>
      <c r="G580" t="s">
        <v>0</v>
      </c>
      <c r="H580" s="2">
        <v>11</v>
      </c>
      <c r="I580" s="3">
        <f t="shared" ca="1" si="1"/>
        <v>9.0661761823898401E-2</v>
      </c>
      <c r="J580">
        <f>PRODUCT(Table3[[#This Row],[Price of One Product]],Table3[[#This Row],[No of Products in one Sale]])</f>
        <v>715</v>
      </c>
      <c r="K580" s="6">
        <f ca="1">Table3[[#This Row],[Actual Sale]]*(1-Table3[[#This Row],[Discount]])</f>
        <v>650.1768402959126</v>
      </c>
      <c r="L580" t="str">
        <f>TEXT(Table3[[#This Row],[Sale Date]],"dddd")</f>
        <v>Tuesday</v>
      </c>
    </row>
    <row r="581" spans="1:12" x14ac:dyDescent="0.3">
      <c r="A581" t="s">
        <v>604</v>
      </c>
      <c r="B581" t="s">
        <v>53</v>
      </c>
      <c r="C581" s="1">
        <v>44773</v>
      </c>
      <c r="D581" t="s">
        <v>61</v>
      </c>
      <c r="E581" t="s">
        <v>66</v>
      </c>
      <c r="F581">
        <v>250</v>
      </c>
      <c r="G581" t="s">
        <v>1</v>
      </c>
      <c r="H581" s="2">
        <v>2</v>
      </c>
      <c r="I581" s="3">
        <f t="shared" ca="1" si="1"/>
        <v>0.15703489870212983</v>
      </c>
      <c r="J581">
        <f>PRODUCT(Table3[[#This Row],[Price of One Product]],Table3[[#This Row],[No of Products in one Sale]])</f>
        <v>500</v>
      </c>
      <c r="K581" s="6">
        <f ca="1">Table3[[#This Row],[Actual Sale]]*(1-Table3[[#This Row],[Discount]])</f>
        <v>421.4825506489351</v>
      </c>
      <c r="L581" t="str">
        <f>TEXT(Table3[[#This Row],[Sale Date]],"dddd")</f>
        <v>Sunday</v>
      </c>
    </row>
    <row r="582" spans="1:12" x14ac:dyDescent="0.3">
      <c r="A582" t="s">
        <v>605</v>
      </c>
      <c r="B582" t="s">
        <v>54</v>
      </c>
      <c r="C582" s="1">
        <v>44796</v>
      </c>
      <c r="D582" t="s">
        <v>62</v>
      </c>
      <c r="E582" t="s">
        <v>66</v>
      </c>
      <c r="F582">
        <v>130</v>
      </c>
      <c r="G582" t="s">
        <v>2</v>
      </c>
      <c r="H582" s="2">
        <v>2</v>
      </c>
      <c r="I582" s="3">
        <f t="shared" ca="1" si="1"/>
        <v>0.75062251324349427</v>
      </c>
      <c r="J582">
        <f>PRODUCT(Table3[[#This Row],[Price of One Product]],Table3[[#This Row],[No of Products in one Sale]])</f>
        <v>260</v>
      </c>
      <c r="K582" s="6">
        <f ca="1">Table3[[#This Row],[Actual Sale]]*(1-Table3[[#This Row],[Discount]])</f>
        <v>64.838146556691484</v>
      </c>
      <c r="L582" t="str">
        <f>TEXT(Table3[[#This Row],[Sale Date]],"dddd")</f>
        <v>Tuesday</v>
      </c>
    </row>
    <row r="583" spans="1:12" x14ac:dyDescent="0.3">
      <c r="A583" t="s">
        <v>606</v>
      </c>
      <c r="B583" t="s">
        <v>55</v>
      </c>
      <c r="C583" s="1">
        <v>44801</v>
      </c>
      <c r="D583" t="s">
        <v>63</v>
      </c>
      <c r="E583" t="s">
        <v>67</v>
      </c>
      <c r="F583">
        <v>60</v>
      </c>
      <c r="G583" t="s">
        <v>0</v>
      </c>
      <c r="H583" s="2">
        <v>10</v>
      </c>
      <c r="I583" s="3">
        <f t="shared" ca="1" si="1"/>
        <v>0.75801614383899607</v>
      </c>
      <c r="J583">
        <f>PRODUCT(Table3[[#This Row],[Price of One Product]],Table3[[#This Row],[No of Products in one Sale]])</f>
        <v>600</v>
      </c>
      <c r="K583" s="6">
        <f ca="1">Table3[[#This Row],[Actual Sale]]*(1-Table3[[#This Row],[Discount]])</f>
        <v>145.19031369660235</v>
      </c>
      <c r="L583" t="str">
        <f>TEXT(Table3[[#This Row],[Sale Date]],"dddd")</f>
        <v>Sunday</v>
      </c>
    </row>
    <row r="584" spans="1:12" x14ac:dyDescent="0.3">
      <c r="A584" t="s">
        <v>607</v>
      </c>
      <c r="B584" t="s">
        <v>56</v>
      </c>
      <c r="C584" s="1">
        <v>44779</v>
      </c>
      <c r="D584" t="s">
        <v>64</v>
      </c>
      <c r="E584" t="s">
        <v>66</v>
      </c>
      <c r="F584">
        <v>95</v>
      </c>
      <c r="G584" t="s">
        <v>1</v>
      </c>
      <c r="H584" s="2">
        <v>6</v>
      </c>
      <c r="I584" s="3">
        <f t="shared" ca="1" si="1"/>
        <v>1.7191748270169893E-2</v>
      </c>
      <c r="J584">
        <f>PRODUCT(Table3[[#This Row],[Price of One Product]],Table3[[#This Row],[No of Products in one Sale]])</f>
        <v>570</v>
      </c>
      <c r="K584" s="6">
        <f ca="1">Table3[[#This Row],[Actual Sale]]*(1-Table3[[#This Row],[Discount]])</f>
        <v>560.20070348600314</v>
      </c>
      <c r="L584" t="str">
        <f>TEXT(Table3[[#This Row],[Sale Date]],"dddd")</f>
        <v>Saturday</v>
      </c>
    </row>
    <row r="585" spans="1:12" x14ac:dyDescent="0.3">
      <c r="A585" t="s">
        <v>608</v>
      </c>
      <c r="B585" t="s">
        <v>51</v>
      </c>
      <c r="C585" s="1">
        <v>44772</v>
      </c>
      <c r="D585" t="s">
        <v>59</v>
      </c>
      <c r="E585" t="s">
        <v>66</v>
      </c>
      <c r="F585">
        <v>72</v>
      </c>
      <c r="G585" t="s">
        <v>2</v>
      </c>
      <c r="H585" s="2">
        <v>7</v>
      </c>
      <c r="I585" s="3">
        <f t="shared" ca="1" si="1"/>
        <v>0.94783956843414707</v>
      </c>
      <c r="J585">
        <f>PRODUCT(Table3[[#This Row],[Price of One Product]],Table3[[#This Row],[No of Products in one Sale]])</f>
        <v>504</v>
      </c>
      <c r="K585" s="6">
        <f ca="1">Table3[[#This Row],[Actual Sale]]*(1-Table3[[#This Row],[Discount]])</f>
        <v>26.288857509189874</v>
      </c>
      <c r="L585" t="str">
        <f>TEXT(Table3[[#This Row],[Sale Date]],"dddd")</f>
        <v>Saturday</v>
      </c>
    </row>
    <row r="586" spans="1:12" x14ac:dyDescent="0.3">
      <c r="A586" t="s">
        <v>609</v>
      </c>
      <c r="B586" t="s">
        <v>52</v>
      </c>
      <c r="C586" s="1">
        <v>44757</v>
      </c>
      <c r="D586" t="s">
        <v>60</v>
      </c>
      <c r="E586" t="s">
        <v>66</v>
      </c>
      <c r="F586">
        <v>65</v>
      </c>
      <c r="G586" t="s">
        <v>0</v>
      </c>
      <c r="H586" s="2">
        <v>8</v>
      </c>
      <c r="I586" s="3">
        <f t="shared" ca="1" si="1"/>
        <v>2.3008286403545464E-2</v>
      </c>
      <c r="J586">
        <f>PRODUCT(Table3[[#This Row],[Price of One Product]],Table3[[#This Row],[No of Products in one Sale]])</f>
        <v>520</v>
      </c>
      <c r="K586" s="6">
        <f ca="1">Table3[[#This Row],[Actual Sale]]*(1-Table3[[#This Row],[Discount]])</f>
        <v>508.03569107015636</v>
      </c>
      <c r="L586" t="str">
        <f>TEXT(Table3[[#This Row],[Sale Date]],"dddd")</f>
        <v>Friday</v>
      </c>
    </row>
    <row r="587" spans="1:12" x14ac:dyDescent="0.3">
      <c r="A587" t="s">
        <v>610</v>
      </c>
      <c r="B587" t="s">
        <v>53</v>
      </c>
      <c r="C587" s="1">
        <v>44808</v>
      </c>
      <c r="D587" t="s">
        <v>61</v>
      </c>
      <c r="E587" t="s">
        <v>67</v>
      </c>
      <c r="F587">
        <v>250</v>
      </c>
      <c r="G587" t="s">
        <v>1</v>
      </c>
      <c r="H587" s="2">
        <v>4</v>
      </c>
      <c r="I587" s="3">
        <f t="shared" ca="1" si="1"/>
        <v>0.86253430262407904</v>
      </c>
      <c r="J587">
        <f>PRODUCT(Table3[[#This Row],[Price of One Product]],Table3[[#This Row],[No of Products in one Sale]])</f>
        <v>1000</v>
      </c>
      <c r="K587" s="6">
        <f ca="1">Table3[[#This Row],[Actual Sale]]*(1-Table3[[#This Row],[Discount]])</f>
        <v>137.46569737592097</v>
      </c>
      <c r="L587" t="str">
        <f>TEXT(Table3[[#This Row],[Sale Date]],"dddd")</f>
        <v>Sunday</v>
      </c>
    </row>
    <row r="588" spans="1:12" x14ac:dyDescent="0.3">
      <c r="A588" t="s">
        <v>611</v>
      </c>
      <c r="B588" t="s">
        <v>54</v>
      </c>
      <c r="C588" s="1">
        <v>44782</v>
      </c>
      <c r="D588" t="s">
        <v>62</v>
      </c>
      <c r="E588" t="s">
        <v>67</v>
      </c>
      <c r="F588">
        <v>130</v>
      </c>
      <c r="G588" t="s">
        <v>2</v>
      </c>
      <c r="H588" s="2">
        <v>6</v>
      </c>
      <c r="I588" s="3">
        <f t="shared" ca="1" si="1"/>
        <v>0.21734695923740877</v>
      </c>
      <c r="J588">
        <f>PRODUCT(Table3[[#This Row],[Price of One Product]],Table3[[#This Row],[No of Products in one Sale]])</f>
        <v>780</v>
      </c>
      <c r="K588" s="6">
        <f ca="1">Table3[[#This Row],[Actual Sale]]*(1-Table3[[#This Row],[Discount]])</f>
        <v>610.4693717948212</v>
      </c>
      <c r="L588" t="str">
        <f>TEXT(Table3[[#This Row],[Sale Date]],"dddd")</f>
        <v>Tuesday</v>
      </c>
    </row>
    <row r="589" spans="1:12" x14ac:dyDescent="0.3">
      <c r="A589" t="s">
        <v>612</v>
      </c>
      <c r="B589" t="s">
        <v>51</v>
      </c>
      <c r="C589" s="1">
        <v>44787</v>
      </c>
      <c r="D589" t="s">
        <v>59</v>
      </c>
      <c r="E589" t="s">
        <v>67</v>
      </c>
      <c r="F589">
        <v>72</v>
      </c>
      <c r="G589" t="s">
        <v>0</v>
      </c>
      <c r="H589" s="2">
        <v>4</v>
      </c>
      <c r="I589" s="3">
        <f t="shared" ca="1" si="1"/>
        <v>0.35860891598427969</v>
      </c>
      <c r="J589">
        <f>PRODUCT(Table3[[#This Row],[Price of One Product]],Table3[[#This Row],[No of Products in one Sale]])</f>
        <v>288</v>
      </c>
      <c r="K589" s="6">
        <f ca="1">Table3[[#This Row],[Actual Sale]]*(1-Table3[[#This Row],[Discount]])</f>
        <v>184.72063219652745</v>
      </c>
      <c r="L589" t="str">
        <f>TEXT(Table3[[#This Row],[Sale Date]],"dddd")</f>
        <v>Sunday</v>
      </c>
    </row>
    <row r="590" spans="1:12" x14ac:dyDescent="0.3">
      <c r="A590" t="s">
        <v>613</v>
      </c>
      <c r="B590" t="s">
        <v>52</v>
      </c>
      <c r="C590" s="1">
        <v>44787</v>
      </c>
      <c r="D590" t="s">
        <v>60</v>
      </c>
      <c r="E590" t="s">
        <v>67</v>
      </c>
      <c r="F590">
        <v>65</v>
      </c>
      <c r="G590" t="s">
        <v>1</v>
      </c>
      <c r="H590" s="2">
        <v>9</v>
      </c>
      <c r="I590" s="3">
        <f t="shared" ca="1" si="1"/>
        <v>0.14927900922746917</v>
      </c>
      <c r="J590">
        <f>PRODUCT(Table3[[#This Row],[Price of One Product]],Table3[[#This Row],[No of Products in one Sale]])</f>
        <v>585</v>
      </c>
      <c r="K590" s="6">
        <f ca="1">Table3[[#This Row],[Actual Sale]]*(1-Table3[[#This Row],[Discount]])</f>
        <v>497.67177960193055</v>
      </c>
      <c r="L590" t="str">
        <f>TEXT(Table3[[#This Row],[Sale Date]],"dddd")</f>
        <v>Sunday</v>
      </c>
    </row>
    <row r="591" spans="1:12" x14ac:dyDescent="0.3">
      <c r="A591" t="s">
        <v>614</v>
      </c>
      <c r="B591" t="s">
        <v>53</v>
      </c>
      <c r="C591" s="1">
        <v>44757</v>
      </c>
      <c r="D591" t="s">
        <v>61</v>
      </c>
      <c r="E591" t="s">
        <v>67</v>
      </c>
      <c r="F591">
        <v>250</v>
      </c>
      <c r="G591" t="s">
        <v>2</v>
      </c>
      <c r="H591" s="2">
        <v>1</v>
      </c>
      <c r="I591" s="3">
        <f t="shared" ca="1" si="1"/>
        <v>0.96591275627926232</v>
      </c>
      <c r="J591">
        <f>PRODUCT(Table3[[#This Row],[Price of One Product]],Table3[[#This Row],[No of Products in one Sale]])</f>
        <v>250</v>
      </c>
      <c r="K591" s="6">
        <f ca="1">Table3[[#This Row],[Actual Sale]]*(1-Table3[[#This Row],[Discount]])</f>
        <v>8.5218109301844205</v>
      </c>
      <c r="L591" t="str">
        <f>TEXT(Table3[[#This Row],[Sale Date]],"dddd")</f>
        <v>Friday</v>
      </c>
    </row>
    <row r="592" spans="1:12" x14ac:dyDescent="0.3">
      <c r="A592" t="s">
        <v>615</v>
      </c>
      <c r="B592" t="s">
        <v>54</v>
      </c>
      <c r="C592" s="1">
        <v>44761</v>
      </c>
      <c r="D592" t="s">
        <v>62</v>
      </c>
      <c r="E592" t="s">
        <v>67</v>
      </c>
      <c r="F592">
        <v>130</v>
      </c>
      <c r="G592" t="s">
        <v>0</v>
      </c>
      <c r="H592" s="2">
        <v>3</v>
      </c>
      <c r="I592" s="3">
        <f t="shared" ca="1" si="1"/>
        <v>0.84003883446515493</v>
      </c>
      <c r="J592">
        <f>PRODUCT(Table3[[#This Row],[Price of One Product]],Table3[[#This Row],[No of Products in one Sale]])</f>
        <v>390</v>
      </c>
      <c r="K592" s="6">
        <f ca="1">Table3[[#This Row],[Actual Sale]]*(1-Table3[[#This Row],[Discount]])</f>
        <v>62.384854558589581</v>
      </c>
      <c r="L592" t="str">
        <f>TEXT(Table3[[#This Row],[Sale Date]],"dddd")</f>
        <v>Tuesday</v>
      </c>
    </row>
    <row r="593" spans="1:12" x14ac:dyDescent="0.3">
      <c r="A593" t="s">
        <v>616</v>
      </c>
      <c r="B593" t="s">
        <v>51</v>
      </c>
      <c r="C593" s="1">
        <v>44788</v>
      </c>
      <c r="D593" t="s">
        <v>59</v>
      </c>
      <c r="E593" t="s">
        <v>66</v>
      </c>
      <c r="F593">
        <v>72</v>
      </c>
      <c r="G593" t="s">
        <v>0</v>
      </c>
      <c r="H593" s="2">
        <v>6</v>
      </c>
      <c r="I593" s="3">
        <f t="shared" ca="1" si="1"/>
        <v>0.15035529525384783</v>
      </c>
      <c r="J593">
        <f>PRODUCT(Table3[[#This Row],[Price of One Product]],Table3[[#This Row],[No of Products in one Sale]])</f>
        <v>432</v>
      </c>
      <c r="K593" s="6">
        <f ca="1">Table3[[#This Row],[Actual Sale]]*(1-Table3[[#This Row],[Discount]])</f>
        <v>367.04651245033773</v>
      </c>
      <c r="L593" t="str">
        <f>TEXT(Table3[[#This Row],[Sale Date]],"dddd")</f>
        <v>Monday</v>
      </c>
    </row>
    <row r="594" spans="1:12" x14ac:dyDescent="0.3">
      <c r="A594" t="s">
        <v>617</v>
      </c>
      <c r="B594" t="s">
        <v>52</v>
      </c>
      <c r="C594" s="1">
        <v>44788</v>
      </c>
      <c r="D594" t="s">
        <v>60</v>
      </c>
      <c r="E594" t="s">
        <v>67</v>
      </c>
      <c r="F594">
        <v>65</v>
      </c>
      <c r="G594" t="s">
        <v>1</v>
      </c>
      <c r="H594" s="2">
        <v>13</v>
      </c>
      <c r="I594" s="3">
        <f t="shared" ca="1" si="1"/>
        <v>0.95255738160025305</v>
      </c>
      <c r="J594">
        <f>PRODUCT(Table3[[#This Row],[Price of One Product]],Table3[[#This Row],[No of Products in one Sale]])</f>
        <v>845</v>
      </c>
      <c r="K594" s="6">
        <f ca="1">Table3[[#This Row],[Actual Sale]]*(1-Table3[[#This Row],[Discount]])</f>
        <v>40.089012547786176</v>
      </c>
      <c r="L594" t="str">
        <f>TEXT(Table3[[#This Row],[Sale Date]],"dddd")</f>
        <v>Monday</v>
      </c>
    </row>
    <row r="595" spans="1:12" x14ac:dyDescent="0.3">
      <c r="A595" t="s">
        <v>618</v>
      </c>
      <c r="B595" t="s">
        <v>53</v>
      </c>
      <c r="C595" s="1">
        <v>44758</v>
      </c>
      <c r="D595" t="s">
        <v>61</v>
      </c>
      <c r="E595" t="s">
        <v>66</v>
      </c>
      <c r="F595">
        <v>250</v>
      </c>
      <c r="G595" t="s">
        <v>2</v>
      </c>
      <c r="H595" s="2">
        <v>1</v>
      </c>
      <c r="I595" s="3">
        <f t="shared" ca="1" si="1"/>
        <v>0.70239016418472544</v>
      </c>
      <c r="J595">
        <f>PRODUCT(Table3[[#This Row],[Price of One Product]],Table3[[#This Row],[No of Products in one Sale]])</f>
        <v>250</v>
      </c>
      <c r="K595" s="6">
        <f ca="1">Table3[[#This Row],[Actual Sale]]*(1-Table3[[#This Row],[Discount]])</f>
        <v>74.402458953818638</v>
      </c>
      <c r="L595" t="str">
        <f>TEXT(Table3[[#This Row],[Sale Date]],"dddd")</f>
        <v>Saturday</v>
      </c>
    </row>
    <row r="596" spans="1:12" x14ac:dyDescent="0.3">
      <c r="A596" t="s">
        <v>619</v>
      </c>
      <c r="B596" t="s">
        <v>54</v>
      </c>
      <c r="C596" s="1">
        <v>44795</v>
      </c>
      <c r="D596" t="s">
        <v>62</v>
      </c>
      <c r="E596" t="s">
        <v>67</v>
      </c>
      <c r="F596">
        <v>130</v>
      </c>
      <c r="G596" t="s">
        <v>0</v>
      </c>
      <c r="H596" s="2">
        <v>3</v>
      </c>
      <c r="I596" s="3">
        <f t="shared" ca="1" si="1"/>
        <v>0.16432430806647869</v>
      </c>
      <c r="J596">
        <f>PRODUCT(Table3[[#This Row],[Price of One Product]],Table3[[#This Row],[No of Products in one Sale]])</f>
        <v>390</v>
      </c>
      <c r="K596" s="6">
        <f ca="1">Table3[[#This Row],[Actual Sale]]*(1-Table3[[#This Row],[Discount]])</f>
        <v>325.91351985407329</v>
      </c>
      <c r="L596" t="str">
        <f>TEXT(Table3[[#This Row],[Sale Date]],"dddd")</f>
        <v>Monday</v>
      </c>
    </row>
    <row r="597" spans="1:12" x14ac:dyDescent="0.3">
      <c r="A597" t="s">
        <v>620</v>
      </c>
      <c r="B597" t="s">
        <v>51</v>
      </c>
      <c r="C597" s="1">
        <v>44791</v>
      </c>
      <c r="D597" t="s">
        <v>59</v>
      </c>
      <c r="E597" t="s">
        <v>66</v>
      </c>
      <c r="F597">
        <v>72</v>
      </c>
      <c r="G597" t="s">
        <v>1</v>
      </c>
      <c r="H597" s="2">
        <v>6</v>
      </c>
      <c r="I597" s="3">
        <f t="shared" ca="1" si="1"/>
        <v>0.57898020244896409</v>
      </c>
      <c r="J597">
        <f>PRODUCT(Table3[[#This Row],[Price of One Product]],Table3[[#This Row],[No of Products in one Sale]])</f>
        <v>432</v>
      </c>
      <c r="K597" s="6">
        <f ca="1">Table3[[#This Row],[Actual Sale]]*(1-Table3[[#This Row],[Discount]])</f>
        <v>181.88055254204752</v>
      </c>
      <c r="L597" t="str">
        <f>TEXT(Table3[[#This Row],[Sale Date]],"dddd")</f>
        <v>Thursday</v>
      </c>
    </row>
    <row r="598" spans="1:12" x14ac:dyDescent="0.3">
      <c r="A598" t="s">
        <v>621</v>
      </c>
      <c r="B598" t="s">
        <v>52</v>
      </c>
      <c r="C598" s="1">
        <v>44791</v>
      </c>
      <c r="D598" t="s">
        <v>60</v>
      </c>
      <c r="E598" t="s">
        <v>67</v>
      </c>
      <c r="F598">
        <v>65</v>
      </c>
      <c r="G598" t="s">
        <v>2</v>
      </c>
      <c r="H598" s="2">
        <v>12</v>
      </c>
      <c r="I598" s="3">
        <f t="shared" ca="1" si="1"/>
        <v>0.2042932567362078</v>
      </c>
      <c r="J598">
        <f>PRODUCT(Table3[[#This Row],[Price of One Product]],Table3[[#This Row],[No of Products in one Sale]])</f>
        <v>780</v>
      </c>
      <c r="K598" s="6">
        <f ca="1">Table3[[#This Row],[Actual Sale]]*(1-Table3[[#This Row],[Discount]])</f>
        <v>620.6512597457579</v>
      </c>
      <c r="L598" t="str">
        <f>TEXT(Table3[[#This Row],[Sale Date]],"dddd")</f>
        <v>Thursday</v>
      </c>
    </row>
    <row r="599" spans="1:12" x14ac:dyDescent="0.3">
      <c r="A599" t="s">
        <v>622</v>
      </c>
      <c r="B599" t="s">
        <v>53</v>
      </c>
      <c r="C599" s="1">
        <v>44794</v>
      </c>
      <c r="D599" t="s">
        <v>61</v>
      </c>
      <c r="E599" t="s">
        <v>66</v>
      </c>
      <c r="F599">
        <v>250</v>
      </c>
      <c r="G599" t="s">
        <v>0</v>
      </c>
      <c r="H599" s="2">
        <v>3</v>
      </c>
      <c r="I599" s="3">
        <f t="shared" ca="1" si="1"/>
        <v>0.80872927424746266</v>
      </c>
      <c r="J599">
        <f>PRODUCT(Table3[[#This Row],[Price of One Product]],Table3[[#This Row],[No of Products in one Sale]])</f>
        <v>750</v>
      </c>
      <c r="K599" s="6">
        <f ca="1">Table3[[#This Row],[Actual Sale]]*(1-Table3[[#This Row],[Discount]])</f>
        <v>143.453044314403</v>
      </c>
      <c r="L599" t="str">
        <f>TEXT(Table3[[#This Row],[Sale Date]],"dddd")</f>
        <v>Sunday</v>
      </c>
    </row>
    <row r="600" spans="1:12" x14ac:dyDescent="0.3">
      <c r="A600" t="s">
        <v>623</v>
      </c>
      <c r="B600" t="s">
        <v>54</v>
      </c>
      <c r="C600" s="1">
        <v>44756</v>
      </c>
      <c r="D600" t="s">
        <v>62</v>
      </c>
      <c r="E600" t="s">
        <v>67</v>
      </c>
      <c r="F600">
        <v>130</v>
      </c>
      <c r="G600" t="s">
        <v>1</v>
      </c>
      <c r="H600" s="2">
        <v>4</v>
      </c>
      <c r="I600" s="3">
        <f t="shared" ca="1" si="1"/>
        <v>0.14661971922417116</v>
      </c>
      <c r="J600">
        <f>PRODUCT(Table3[[#This Row],[Price of One Product]],Table3[[#This Row],[No of Products in one Sale]])</f>
        <v>520</v>
      </c>
      <c r="K600" s="6">
        <f ca="1">Table3[[#This Row],[Actual Sale]]*(1-Table3[[#This Row],[Discount]])</f>
        <v>443.75774600343101</v>
      </c>
      <c r="L600" t="str">
        <f>TEXT(Table3[[#This Row],[Sale Date]],"dddd")</f>
        <v>Thursday</v>
      </c>
    </row>
    <row r="601" spans="1:12" x14ac:dyDescent="0.3">
      <c r="A601" t="s">
        <v>624</v>
      </c>
      <c r="B601" t="s">
        <v>55</v>
      </c>
      <c r="C601" s="1">
        <v>44789</v>
      </c>
      <c r="D601" t="s">
        <v>63</v>
      </c>
      <c r="E601" t="s">
        <v>66</v>
      </c>
      <c r="F601">
        <v>60</v>
      </c>
      <c r="G601" t="s">
        <v>2</v>
      </c>
      <c r="H601" s="2">
        <v>11</v>
      </c>
      <c r="I601" s="3">
        <f t="shared" ca="1" si="1"/>
        <v>0.22457126806906114</v>
      </c>
      <c r="J601">
        <f>PRODUCT(Table3[[#This Row],[Price of One Product]],Table3[[#This Row],[No of Products in one Sale]])</f>
        <v>660</v>
      </c>
      <c r="K601" s="6">
        <f ca="1">Table3[[#This Row],[Actual Sale]]*(1-Table3[[#This Row],[Discount]])</f>
        <v>511.78296307441963</v>
      </c>
      <c r="L601" t="str">
        <f>TEXT(Table3[[#This Row],[Sale Date]],"dddd")</f>
        <v>Tuesday</v>
      </c>
    </row>
    <row r="602" spans="1:12" x14ac:dyDescent="0.3">
      <c r="A602" t="s">
        <v>625</v>
      </c>
      <c r="B602" t="s">
        <v>51</v>
      </c>
      <c r="C602" s="1">
        <v>44810</v>
      </c>
      <c r="D602" t="s">
        <v>59</v>
      </c>
      <c r="E602" t="s">
        <v>67</v>
      </c>
      <c r="F602">
        <v>72</v>
      </c>
      <c r="G602" t="s">
        <v>0</v>
      </c>
      <c r="H602" s="2">
        <v>3</v>
      </c>
      <c r="I602" s="3">
        <f t="shared" ca="1" si="1"/>
        <v>0.14219494334589677</v>
      </c>
      <c r="J602">
        <f>PRODUCT(Table3[[#This Row],[Price of One Product]],Table3[[#This Row],[No of Products in one Sale]])</f>
        <v>216</v>
      </c>
      <c r="K602" s="6">
        <f ca="1">Table3[[#This Row],[Actual Sale]]*(1-Table3[[#This Row],[Discount]])</f>
        <v>185.2858922372863</v>
      </c>
      <c r="L602" t="str">
        <f>TEXT(Table3[[#This Row],[Sale Date]],"dddd")</f>
        <v>Tuesday</v>
      </c>
    </row>
    <row r="603" spans="1:12" x14ac:dyDescent="0.3">
      <c r="A603" t="s">
        <v>626</v>
      </c>
      <c r="B603" t="s">
        <v>52</v>
      </c>
      <c r="C603" s="1">
        <v>44798</v>
      </c>
      <c r="D603" t="s">
        <v>60</v>
      </c>
      <c r="E603" t="s">
        <v>66</v>
      </c>
      <c r="F603">
        <v>65</v>
      </c>
      <c r="G603" t="s">
        <v>1</v>
      </c>
      <c r="H603" s="2">
        <v>8</v>
      </c>
      <c r="I603" s="3">
        <f t="shared" ca="1" si="1"/>
        <v>0.44379538332065993</v>
      </c>
      <c r="J603">
        <f>PRODUCT(Table3[[#This Row],[Price of One Product]],Table3[[#This Row],[No of Products in one Sale]])</f>
        <v>520</v>
      </c>
      <c r="K603" s="6">
        <f ca="1">Table3[[#This Row],[Actual Sale]]*(1-Table3[[#This Row],[Discount]])</f>
        <v>289.22640067325682</v>
      </c>
      <c r="L603" t="str">
        <f>TEXT(Table3[[#This Row],[Sale Date]],"dddd")</f>
        <v>Thursday</v>
      </c>
    </row>
    <row r="604" spans="1:12" x14ac:dyDescent="0.3">
      <c r="A604" t="s">
        <v>627</v>
      </c>
      <c r="B604" t="s">
        <v>53</v>
      </c>
      <c r="C604" s="1">
        <v>44791</v>
      </c>
      <c r="D604" t="s">
        <v>61</v>
      </c>
      <c r="E604" t="s">
        <v>67</v>
      </c>
      <c r="F604">
        <v>250</v>
      </c>
      <c r="G604" t="s">
        <v>2</v>
      </c>
      <c r="H604" s="2">
        <v>3</v>
      </c>
      <c r="I604" s="3">
        <f t="shared" ca="1" si="1"/>
        <v>0.92800944116442097</v>
      </c>
      <c r="J604">
        <f>PRODUCT(Table3[[#This Row],[Price of One Product]],Table3[[#This Row],[No of Products in one Sale]])</f>
        <v>750</v>
      </c>
      <c r="K604" s="6">
        <f ca="1">Table3[[#This Row],[Actual Sale]]*(1-Table3[[#This Row],[Discount]])</f>
        <v>53.992919126684278</v>
      </c>
      <c r="L604" t="str">
        <f>TEXT(Table3[[#This Row],[Sale Date]],"dddd")</f>
        <v>Thursday</v>
      </c>
    </row>
    <row r="605" spans="1:12" x14ac:dyDescent="0.3">
      <c r="A605" t="s">
        <v>628</v>
      </c>
      <c r="B605" t="s">
        <v>54</v>
      </c>
      <c r="C605" s="1">
        <v>44796</v>
      </c>
      <c r="D605" t="s">
        <v>62</v>
      </c>
      <c r="E605" t="s">
        <v>66</v>
      </c>
      <c r="F605">
        <v>130</v>
      </c>
      <c r="G605" t="s">
        <v>0</v>
      </c>
      <c r="H605" s="2">
        <v>2</v>
      </c>
      <c r="I605" s="3">
        <f t="shared" ca="1" si="1"/>
        <v>0.68563641622970328</v>
      </c>
      <c r="J605">
        <f>PRODUCT(Table3[[#This Row],[Price of One Product]],Table3[[#This Row],[No of Products in one Sale]])</f>
        <v>260</v>
      </c>
      <c r="K605" s="6">
        <f ca="1">Table3[[#This Row],[Actual Sale]]*(1-Table3[[#This Row],[Discount]])</f>
        <v>81.734531780277152</v>
      </c>
      <c r="L605" t="str">
        <f>TEXT(Table3[[#This Row],[Sale Date]],"dddd")</f>
        <v>Tuesday</v>
      </c>
    </row>
    <row r="606" spans="1:12" x14ac:dyDescent="0.3">
      <c r="A606" t="s">
        <v>629</v>
      </c>
      <c r="B606" t="s">
        <v>51</v>
      </c>
      <c r="C606" s="1">
        <v>44810</v>
      </c>
      <c r="D606" t="s">
        <v>59</v>
      </c>
      <c r="E606" t="s">
        <v>67</v>
      </c>
      <c r="F606">
        <v>72</v>
      </c>
      <c r="G606" t="s">
        <v>1</v>
      </c>
      <c r="H606" s="2">
        <v>12</v>
      </c>
      <c r="I606" s="3">
        <f t="shared" ca="1" si="1"/>
        <v>0.24338213640833684</v>
      </c>
      <c r="J606">
        <f>PRODUCT(Table3[[#This Row],[Price of One Product]],Table3[[#This Row],[No of Products in one Sale]])</f>
        <v>864</v>
      </c>
      <c r="K606" s="6">
        <f ca="1">Table3[[#This Row],[Actual Sale]]*(1-Table3[[#This Row],[Discount]])</f>
        <v>653.71783414319702</v>
      </c>
      <c r="L606" t="str">
        <f>TEXT(Table3[[#This Row],[Sale Date]],"dddd")</f>
        <v>Tuesday</v>
      </c>
    </row>
    <row r="607" spans="1:12" x14ac:dyDescent="0.3">
      <c r="A607" t="s">
        <v>630</v>
      </c>
      <c r="B607" t="s">
        <v>52</v>
      </c>
      <c r="C607" s="1">
        <v>44791</v>
      </c>
      <c r="D607" t="s">
        <v>60</v>
      </c>
      <c r="E607" t="s">
        <v>66</v>
      </c>
      <c r="F607">
        <v>65</v>
      </c>
      <c r="G607" t="s">
        <v>2</v>
      </c>
      <c r="H607" s="2">
        <v>13</v>
      </c>
      <c r="I607" s="3">
        <f t="shared" ca="1" si="1"/>
        <v>0.4262120507914523</v>
      </c>
      <c r="J607">
        <f>PRODUCT(Table3[[#This Row],[Price of One Product]],Table3[[#This Row],[No of Products in one Sale]])</f>
        <v>845</v>
      </c>
      <c r="K607" s="6">
        <f ca="1">Table3[[#This Row],[Actual Sale]]*(1-Table3[[#This Row],[Discount]])</f>
        <v>484.85081708122283</v>
      </c>
      <c r="L607" t="str">
        <f>TEXT(Table3[[#This Row],[Sale Date]],"dddd")</f>
        <v>Thursday</v>
      </c>
    </row>
    <row r="608" spans="1:12" x14ac:dyDescent="0.3">
      <c r="A608" t="s">
        <v>631</v>
      </c>
      <c r="B608" t="s">
        <v>53</v>
      </c>
      <c r="C608" s="1">
        <v>44797</v>
      </c>
      <c r="D608" t="s">
        <v>61</v>
      </c>
      <c r="E608" t="s">
        <v>67</v>
      </c>
      <c r="F608">
        <v>250</v>
      </c>
      <c r="G608" t="s">
        <v>0</v>
      </c>
      <c r="H608" s="2">
        <v>2</v>
      </c>
      <c r="I608" s="3">
        <f t="shared" ca="1" si="1"/>
        <v>0.39534569449512391</v>
      </c>
      <c r="J608">
        <f>PRODUCT(Table3[[#This Row],[Price of One Product]],Table3[[#This Row],[No of Products in one Sale]])</f>
        <v>500</v>
      </c>
      <c r="K608" s="6">
        <f ca="1">Table3[[#This Row],[Actual Sale]]*(1-Table3[[#This Row],[Discount]])</f>
        <v>302.32715275243805</v>
      </c>
      <c r="L608" t="str">
        <f>TEXT(Table3[[#This Row],[Sale Date]],"dddd")</f>
        <v>Wednesday</v>
      </c>
    </row>
    <row r="609" spans="1:12" x14ac:dyDescent="0.3">
      <c r="A609" t="s">
        <v>632</v>
      </c>
      <c r="B609" t="s">
        <v>54</v>
      </c>
      <c r="C609" s="1">
        <v>44777</v>
      </c>
      <c r="D609" t="s">
        <v>62</v>
      </c>
      <c r="E609" t="s">
        <v>66</v>
      </c>
      <c r="F609">
        <v>130</v>
      </c>
      <c r="G609" t="s">
        <v>1</v>
      </c>
      <c r="H609" s="2">
        <v>4</v>
      </c>
      <c r="I609" s="3">
        <f t="shared" ca="1" si="1"/>
        <v>1.9982510308975021E-2</v>
      </c>
      <c r="J609">
        <f>PRODUCT(Table3[[#This Row],[Price of One Product]],Table3[[#This Row],[No of Products in one Sale]])</f>
        <v>520</v>
      </c>
      <c r="K609" s="6">
        <f ca="1">Table3[[#This Row],[Actual Sale]]*(1-Table3[[#This Row],[Discount]])</f>
        <v>509.60909463933297</v>
      </c>
      <c r="L609" t="str">
        <f>TEXT(Table3[[#This Row],[Sale Date]],"dddd")</f>
        <v>Thursday</v>
      </c>
    </row>
    <row r="610" spans="1:12" x14ac:dyDescent="0.3">
      <c r="A610" t="s">
        <v>633</v>
      </c>
      <c r="B610" t="s">
        <v>55</v>
      </c>
      <c r="C610" s="1">
        <v>44802</v>
      </c>
      <c r="D610" t="s">
        <v>63</v>
      </c>
      <c r="E610" t="s">
        <v>66</v>
      </c>
      <c r="F610">
        <v>60</v>
      </c>
      <c r="G610" t="s">
        <v>2</v>
      </c>
      <c r="H610" s="2">
        <v>4</v>
      </c>
      <c r="I610" s="3">
        <f t="shared" ca="1" si="1"/>
        <v>0.73017621982878145</v>
      </c>
      <c r="J610">
        <f>PRODUCT(Table3[[#This Row],[Price of One Product]],Table3[[#This Row],[No of Products in one Sale]])</f>
        <v>240</v>
      </c>
      <c r="K610" s="6">
        <f ca="1">Table3[[#This Row],[Actual Sale]]*(1-Table3[[#This Row],[Discount]])</f>
        <v>64.757707241092447</v>
      </c>
      <c r="L610" t="str">
        <f>TEXT(Table3[[#This Row],[Sale Date]],"dddd")</f>
        <v>Monday</v>
      </c>
    </row>
    <row r="611" spans="1:12" x14ac:dyDescent="0.3">
      <c r="A611" t="s">
        <v>634</v>
      </c>
      <c r="B611" t="s">
        <v>56</v>
      </c>
      <c r="C611" s="1">
        <v>44758</v>
      </c>
      <c r="D611" t="s">
        <v>64</v>
      </c>
      <c r="E611" t="s">
        <v>67</v>
      </c>
      <c r="F611">
        <v>95</v>
      </c>
      <c r="G611" t="s">
        <v>0</v>
      </c>
      <c r="H611" s="2">
        <v>8</v>
      </c>
      <c r="I611" s="3">
        <f t="shared" ca="1" si="1"/>
        <v>0.21514182857788267</v>
      </c>
      <c r="J611">
        <f>PRODUCT(Table3[[#This Row],[Price of One Product]],Table3[[#This Row],[No of Products in one Sale]])</f>
        <v>760</v>
      </c>
      <c r="K611" s="6">
        <f ca="1">Table3[[#This Row],[Actual Sale]]*(1-Table3[[#This Row],[Discount]])</f>
        <v>596.49221028080922</v>
      </c>
      <c r="L611" t="str">
        <f>TEXT(Table3[[#This Row],[Sale Date]],"dddd")</f>
        <v>Saturday</v>
      </c>
    </row>
    <row r="612" spans="1:12" x14ac:dyDescent="0.3">
      <c r="A612" t="s">
        <v>635</v>
      </c>
      <c r="B612" t="s">
        <v>51</v>
      </c>
      <c r="C612" s="1">
        <v>44768</v>
      </c>
      <c r="D612" t="s">
        <v>59</v>
      </c>
      <c r="E612" t="s">
        <v>67</v>
      </c>
      <c r="F612">
        <v>72</v>
      </c>
      <c r="G612" t="s">
        <v>1</v>
      </c>
      <c r="H612" s="2">
        <v>10</v>
      </c>
      <c r="I612" s="3">
        <f t="shared" ca="1" si="1"/>
        <v>0.94124971048977957</v>
      </c>
      <c r="J612">
        <f>PRODUCT(Table3[[#This Row],[Price of One Product]],Table3[[#This Row],[No of Products in one Sale]])</f>
        <v>720</v>
      </c>
      <c r="K612" s="6">
        <f ca="1">Table3[[#This Row],[Actual Sale]]*(1-Table3[[#This Row],[Discount]])</f>
        <v>42.300208447358713</v>
      </c>
      <c r="L612" t="str">
        <f>TEXT(Table3[[#This Row],[Sale Date]],"dddd")</f>
        <v>Tuesday</v>
      </c>
    </row>
    <row r="613" spans="1:12" x14ac:dyDescent="0.3">
      <c r="A613" t="s">
        <v>636</v>
      </c>
      <c r="B613" t="s">
        <v>52</v>
      </c>
      <c r="C613" s="1">
        <v>44756</v>
      </c>
      <c r="D613" t="s">
        <v>60</v>
      </c>
      <c r="E613" t="s">
        <v>67</v>
      </c>
      <c r="F613">
        <v>65</v>
      </c>
      <c r="G613" t="s">
        <v>2</v>
      </c>
      <c r="H613" s="2">
        <v>7</v>
      </c>
      <c r="I613" s="3">
        <f t="shared" ca="1" si="1"/>
        <v>0.26603979290360302</v>
      </c>
      <c r="J613">
        <f>PRODUCT(Table3[[#This Row],[Price of One Product]],Table3[[#This Row],[No of Products in one Sale]])</f>
        <v>455</v>
      </c>
      <c r="K613" s="6">
        <f ca="1">Table3[[#This Row],[Actual Sale]]*(1-Table3[[#This Row],[Discount]])</f>
        <v>333.95189422886062</v>
      </c>
      <c r="L613" t="str">
        <f>TEXT(Table3[[#This Row],[Sale Date]],"dddd")</f>
        <v>Thursday</v>
      </c>
    </row>
    <row r="614" spans="1:12" x14ac:dyDescent="0.3">
      <c r="A614" t="s">
        <v>637</v>
      </c>
      <c r="B614" t="s">
        <v>53</v>
      </c>
      <c r="C614" s="1">
        <v>44809</v>
      </c>
      <c r="D614" t="s">
        <v>61</v>
      </c>
      <c r="E614" t="s">
        <v>66</v>
      </c>
      <c r="F614">
        <v>250</v>
      </c>
      <c r="G614" t="s">
        <v>0</v>
      </c>
      <c r="H614" s="2">
        <v>3</v>
      </c>
      <c r="I614" s="3">
        <f t="shared" ca="1" si="1"/>
        <v>0.70334812716941231</v>
      </c>
      <c r="J614">
        <f>PRODUCT(Table3[[#This Row],[Price of One Product]],Table3[[#This Row],[No of Products in one Sale]])</f>
        <v>750</v>
      </c>
      <c r="K614" s="6">
        <f ca="1">Table3[[#This Row],[Actual Sale]]*(1-Table3[[#This Row],[Discount]])</f>
        <v>222.48890462294077</v>
      </c>
      <c r="L614" t="str">
        <f>TEXT(Table3[[#This Row],[Sale Date]],"dddd")</f>
        <v>Monday</v>
      </c>
    </row>
    <row r="615" spans="1:12" x14ac:dyDescent="0.3">
      <c r="A615" t="s">
        <v>638</v>
      </c>
      <c r="B615" t="s">
        <v>54</v>
      </c>
      <c r="C615" s="1">
        <v>44801</v>
      </c>
      <c r="D615" t="s">
        <v>62</v>
      </c>
      <c r="E615" t="s">
        <v>66</v>
      </c>
      <c r="F615">
        <v>130</v>
      </c>
      <c r="G615" t="s">
        <v>1</v>
      </c>
      <c r="H615" s="2">
        <v>6</v>
      </c>
      <c r="I615" s="3">
        <f t="shared" ca="1" si="1"/>
        <v>0.59455964021849139</v>
      </c>
      <c r="J615">
        <f>PRODUCT(Table3[[#This Row],[Price of One Product]],Table3[[#This Row],[No of Products in one Sale]])</f>
        <v>780</v>
      </c>
      <c r="K615" s="6">
        <f ca="1">Table3[[#This Row],[Actual Sale]]*(1-Table3[[#This Row],[Discount]])</f>
        <v>316.24348062957671</v>
      </c>
      <c r="L615" t="str">
        <f>TEXT(Table3[[#This Row],[Sale Date]],"dddd")</f>
        <v>Sunday</v>
      </c>
    </row>
    <row r="616" spans="1:12" x14ac:dyDescent="0.3">
      <c r="A616" t="s">
        <v>639</v>
      </c>
      <c r="B616" t="s">
        <v>51</v>
      </c>
      <c r="C616" s="1">
        <v>44794</v>
      </c>
      <c r="D616" t="s">
        <v>59</v>
      </c>
      <c r="E616" t="s">
        <v>66</v>
      </c>
      <c r="F616">
        <v>72</v>
      </c>
      <c r="G616" t="s">
        <v>2</v>
      </c>
      <c r="H616" s="2">
        <v>7</v>
      </c>
      <c r="I616" s="3">
        <f t="shared" ca="1" si="1"/>
        <v>0.88380690467816991</v>
      </c>
      <c r="J616">
        <f>PRODUCT(Table3[[#This Row],[Price of One Product]],Table3[[#This Row],[No of Products in one Sale]])</f>
        <v>504</v>
      </c>
      <c r="K616" s="6">
        <f ca="1">Table3[[#This Row],[Actual Sale]]*(1-Table3[[#This Row],[Discount]])</f>
        <v>58.561320042202361</v>
      </c>
      <c r="L616" t="str">
        <f>TEXT(Table3[[#This Row],[Sale Date]],"dddd")</f>
        <v>Sunday</v>
      </c>
    </row>
    <row r="617" spans="1:12" x14ac:dyDescent="0.3">
      <c r="A617" t="s">
        <v>640</v>
      </c>
      <c r="B617" t="s">
        <v>52</v>
      </c>
      <c r="C617" s="1">
        <v>44792</v>
      </c>
      <c r="D617" t="s">
        <v>60</v>
      </c>
      <c r="E617" t="s">
        <v>66</v>
      </c>
      <c r="F617">
        <v>65</v>
      </c>
      <c r="G617" t="s">
        <v>0</v>
      </c>
      <c r="H617" s="2">
        <v>3</v>
      </c>
      <c r="I617" s="3">
        <f t="shared" ca="1" si="1"/>
        <v>0.92189160890220156</v>
      </c>
      <c r="J617">
        <f>PRODUCT(Table3[[#This Row],[Price of One Product]],Table3[[#This Row],[No of Products in one Sale]])</f>
        <v>195</v>
      </c>
      <c r="K617" s="6">
        <f ca="1">Table3[[#This Row],[Actual Sale]]*(1-Table3[[#This Row],[Discount]])</f>
        <v>15.231136264070695</v>
      </c>
      <c r="L617" t="str">
        <f>TEXT(Table3[[#This Row],[Sale Date]],"dddd")</f>
        <v>Friday</v>
      </c>
    </row>
    <row r="618" spans="1:12" x14ac:dyDescent="0.3">
      <c r="A618" t="s">
        <v>641</v>
      </c>
      <c r="B618" t="s">
        <v>53</v>
      </c>
      <c r="C618" s="1">
        <v>44770</v>
      </c>
      <c r="D618" t="s">
        <v>61</v>
      </c>
      <c r="E618" t="s">
        <v>66</v>
      </c>
      <c r="F618">
        <v>250</v>
      </c>
      <c r="G618" t="s">
        <v>1</v>
      </c>
      <c r="H618" s="2">
        <v>1</v>
      </c>
      <c r="I618" s="3">
        <f t="shared" ca="1" si="1"/>
        <v>0.7721584671508116</v>
      </c>
      <c r="J618">
        <f>PRODUCT(Table3[[#This Row],[Price of One Product]],Table3[[#This Row],[No of Products in one Sale]])</f>
        <v>250</v>
      </c>
      <c r="K618" s="6">
        <f ca="1">Table3[[#This Row],[Actual Sale]]*(1-Table3[[#This Row],[Discount]])</f>
        <v>56.960383212297103</v>
      </c>
      <c r="L618" t="str">
        <f>TEXT(Table3[[#This Row],[Sale Date]],"dddd")</f>
        <v>Thursday</v>
      </c>
    </row>
    <row r="619" spans="1:12" x14ac:dyDescent="0.3">
      <c r="A619" t="s">
        <v>642</v>
      </c>
      <c r="B619" t="s">
        <v>54</v>
      </c>
      <c r="C619" s="1">
        <v>44761</v>
      </c>
      <c r="D619" t="s">
        <v>62</v>
      </c>
      <c r="E619" t="s">
        <v>66</v>
      </c>
      <c r="F619">
        <v>130</v>
      </c>
      <c r="G619" t="s">
        <v>2</v>
      </c>
      <c r="H619" s="2">
        <v>5</v>
      </c>
      <c r="I619" s="3">
        <f t="shared" ca="1" si="1"/>
        <v>0.37662114110682732</v>
      </c>
      <c r="J619">
        <f>PRODUCT(Table3[[#This Row],[Price of One Product]],Table3[[#This Row],[No of Products in one Sale]])</f>
        <v>650</v>
      </c>
      <c r="K619" s="6">
        <f ca="1">Table3[[#This Row],[Actual Sale]]*(1-Table3[[#This Row],[Discount]])</f>
        <v>405.19625828056223</v>
      </c>
      <c r="L619" t="str">
        <f>TEXT(Table3[[#This Row],[Sale Date]],"dddd")</f>
        <v>Tuesday</v>
      </c>
    </row>
    <row r="620" spans="1:12" x14ac:dyDescent="0.3">
      <c r="A620" t="s">
        <v>643</v>
      </c>
      <c r="B620" t="s">
        <v>55</v>
      </c>
      <c r="C620" s="1">
        <v>44773</v>
      </c>
      <c r="D620" t="s">
        <v>63</v>
      </c>
      <c r="E620" t="s">
        <v>66</v>
      </c>
      <c r="F620">
        <v>60</v>
      </c>
      <c r="G620" t="s">
        <v>0</v>
      </c>
      <c r="H620" s="2">
        <v>7</v>
      </c>
      <c r="I620" s="3">
        <f t="shared" ca="1" si="1"/>
        <v>0.97184939966160233</v>
      </c>
      <c r="J620">
        <f>PRODUCT(Table3[[#This Row],[Price of One Product]],Table3[[#This Row],[No of Products in one Sale]])</f>
        <v>420</v>
      </c>
      <c r="K620" s="6">
        <f ca="1">Table3[[#This Row],[Actual Sale]]*(1-Table3[[#This Row],[Discount]])</f>
        <v>11.823252142127021</v>
      </c>
      <c r="L620" t="str">
        <f>TEXT(Table3[[#This Row],[Sale Date]],"dddd")</f>
        <v>Sunday</v>
      </c>
    </row>
    <row r="621" spans="1:12" x14ac:dyDescent="0.3">
      <c r="A621" t="s">
        <v>644</v>
      </c>
      <c r="B621" t="s">
        <v>51</v>
      </c>
      <c r="C621" s="1">
        <v>44766</v>
      </c>
      <c r="D621" t="s">
        <v>59</v>
      </c>
      <c r="E621" t="s">
        <v>66</v>
      </c>
      <c r="F621">
        <v>72</v>
      </c>
      <c r="G621" t="s">
        <v>1</v>
      </c>
      <c r="H621" s="2">
        <v>7</v>
      </c>
      <c r="I621" s="3">
        <f t="shared" ca="1" si="1"/>
        <v>0.85719180231944747</v>
      </c>
      <c r="J621">
        <f>PRODUCT(Table3[[#This Row],[Price of One Product]],Table3[[#This Row],[No of Products in one Sale]])</f>
        <v>504</v>
      </c>
      <c r="K621" s="6">
        <f ca="1">Table3[[#This Row],[Actual Sale]]*(1-Table3[[#This Row],[Discount]])</f>
        <v>71.975331630998468</v>
      </c>
      <c r="L621" t="str">
        <f>TEXT(Table3[[#This Row],[Sale Date]],"dddd")</f>
        <v>Sunday</v>
      </c>
    </row>
    <row r="622" spans="1:12" x14ac:dyDescent="0.3">
      <c r="A622" t="s">
        <v>645</v>
      </c>
      <c r="B622" t="s">
        <v>52</v>
      </c>
      <c r="C622" s="1">
        <v>44793</v>
      </c>
      <c r="D622" t="s">
        <v>60</v>
      </c>
      <c r="E622" t="s">
        <v>66</v>
      </c>
      <c r="F622">
        <v>65</v>
      </c>
      <c r="G622" t="s">
        <v>2</v>
      </c>
      <c r="H622" s="2">
        <v>11</v>
      </c>
      <c r="I622" s="3">
        <f t="shared" ca="1" si="1"/>
        <v>0.7921523696005095</v>
      </c>
      <c r="J622">
        <f>PRODUCT(Table3[[#This Row],[Price of One Product]],Table3[[#This Row],[No of Products in one Sale]])</f>
        <v>715</v>
      </c>
      <c r="K622" s="6">
        <f ca="1">Table3[[#This Row],[Actual Sale]]*(1-Table3[[#This Row],[Discount]])</f>
        <v>148.61105573563572</v>
      </c>
      <c r="L622" t="str">
        <f>TEXT(Table3[[#This Row],[Sale Date]],"dddd")</f>
        <v>Saturday</v>
      </c>
    </row>
    <row r="623" spans="1:12" x14ac:dyDescent="0.3">
      <c r="A623" t="s">
        <v>646</v>
      </c>
      <c r="B623" t="s">
        <v>53</v>
      </c>
      <c r="C623" s="1">
        <v>44769</v>
      </c>
      <c r="D623" t="s">
        <v>61</v>
      </c>
      <c r="E623" t="s">
        <v>67</v>
      </c>
      <c r="F623">
        <v>250</v>
      </c>
      <c r="G623" t="s">
        <v>0</v>
      </c>
      <c r="H623" s="2">
        <v>1</v>
      </c>
      <c r="I623" s="3">
        <f t="shared" ca="1" si="1"/>
        <v>0.38568669515204279</v>
      </c>
      <c r="J623">
        <f>PRODUCT(Table3[[#This Row],[Price of One Product]],Table3[[#This Row],[No of Products in one Sale]])</f>
        <v>250</v>
      </c>
      <c r="K623" s="6">
        <f ca="1">Table3[[#This Row],[Actual Sale]]*(1-Table3[[#This Row],[Discount]])</f>
        <v>153.57832621198929</v>
      </c>
      <c r="L623" t="str">
        <f>TEXT(Table3[[#This Row],[Sale Date]],"dddd")</f>
        <v>Wednesday</v>
      </c>
    </row>
    <row r="624" spans="1:12" x14ac:dyDescent="0.3">
      <c r="A624" t="s">
        <v>647</v>
      </c>
      <c r="B624" t="s">
        <v>54</v>
      </c>
      <c r="C624" s="1">
        <v>44758</v>
      </c>
      <c r="D624" t="s">
        <v>62</v>
      </c>
      <c r="E624" t="s">
        <v>66</v>
      </c>
      <c r="F624">
        <v>130</v>
      </c>
      <c r="G624" t="s">
        <v>1</v>
      </c>
      <c r="H624" s="2">
        <v>5</v>
      </c>
      <c r="I624" s="3">
        <f t="shared" ca="1" si="1"/>
        <v>0.23622698130892517</v>
      </c>
      <c r="J624">
        <f>PRODUCT(Table3[[#This Row],[Price of One Product]],Table3[[#This Row],[No of Products in one Sale]])</f>
        <v>650</v>
      </c>
      <c r="K624" s="6">
        <f ca="1">Table3[[#This Row],[Actual Sale]]*(1-Table3[[#This Row],[Discount]])</f>
        <v>496.45246214919865</v>
      </c>
      <c r="L624" t="str">
        <f>TEXT(Table3[[#This Row],[Sale Date]],"dddd")</f>
        <v>Saturday</v>
      </c>
    </row>
    <row r="625" spans="1:12" x14ac:dyDescent="0.3">
      <c r="A625" t="s">
        <v>648</v>
      </c>
      <c r="B625" t="s">
        <v>51</v>
      </c>
      <c r="C625" s="1">
        <v>44803</v>
      </c>
      <c r="D625" t="s">
        <v>59</v>
      </c>
      <c r="E625" t="s">
        <v>66</v>
      </c>
      <c r="F625">
        <v>72</v>
      </c>
      <c r="G625" t="s">
        <v>2</v>
      </c>
      <c r="H625" s="2">
        <v>11</v>
      </c>
      <c r="I625" s="3">
        <f t="shared" ca="1" si="1"/>
        <v>0.99491874892873333</v>
      </c>
      <c r="J625">
        <f>PRODUCT(Table3[[#This Row],[Price of One Product]],Table3[[#This Row],[No of Products in one Sale]])</f>
        <v>792</v>
      </c>
      <c r="K625" s="6">
        <f ca="1">Table3[[#This Row],[Actual Sale]]*(1-Table3[[#This Row],[Discount]])</f>
        <v>4.0243508484432011</v>
      </c>
      <c r="L625" t="str">
        <f>TEXT(Table3[[#This Row],[Sale Date]],"dddd")</f>
        <v>Tuesday</v>
      </c>
    </row>
    <row r="626" spans="1:12" x14ac:dyDescent="0.3">
      <c r="A626" t="s">
        <v>649</v>
      </c>
      <c r="B626" t="s">
        <v>52</v>
      </c>
      <c r="C626" s="1">
        <v>44808</v>
      </c>
      <c r="D626" t="s">
        <v>60</v>
      </c>
      <c r="E626" t="s">
        <v>66</v>
      </c>
      <c r="F626">
        <v>65</v>
      </c>
      <c r="G626" t="s">
        <v>0</v>
      </c>
      <c r="H626" s="2">
        <v>7</v>
      </c>
      <c r="I626" s="3">
        <f t="shared" ca="1" si="1"/>
        <v>0.23575214547018497</v>
      </c>
      <c r="J626">
        <f>PRODUCT(Table3[[#This Row],[Price of One Product]],Table3[[#This Row],[No of Products in one Sale]])</f>
        <v>455</v>
      </c>
      <c r="K626" s="6">
        <f ca="1">Table3[[#This Row],[Actual Sale]]*(1-Table3[[#This Row],[Discount]])</f>
        <v>347.73277381106584</v>
      </c>
      <c r="L626" t="str">
        <f>TEXT(Table3[[#This Row],[Sale Date]],"dddd")</f>
        <v>Sunday</v>
      </c>
    </row>
    <row r="627" spans="1:12" x14ac:dyDescent="0.3">
      <c r="A627" t="s">
        <v>650</v>
      </c>
      <c r="B627" t="s">
        <v>53</v>
      </c>
      <c r="C627" s="1">
        <v>44784</v>
      </c>
      <c r="D627" t="s">
        <v>61</v>
      </c>
      <c r="E627" t="s">
        <v>66</v>
      </c>
      <c r="F627">
        <v>250</v>
      </c>
      <c r="G627" t="s">
        <v>1</v>
      </c>
      <c r="H627" s="2">
        <v>2</v>
      </c>
      <c r="I627" s="3">
        <f t="shared" ca="1" si="1"/>
        <v>0.56250223948324629</v>
      </c>
      <c r="J627">
        <f>PRODUCT(Table3[[#This Row],[Price of One Product]],Table3[[#This Row],[No of Products in one Sale]])</f>
        <v>500</v>
      </c>
      <c r="K627" s="6">
        <f ca="1">Table3[[#This Row],[Actual Sale]]*(1-Table3[[#This Row],[Discount]])</f>
        <v>218.74888025837686</v>
      </c>
      <c r="L627" t="str">
        <f>TEXT(Table3[[#This Row],[Sale Date]],"dddd")</f>
        <v>Thursday</v>
      </c>
    </row>
    <row r="628" spans="1:12" x14ac:dyDescent="0.3">
      <c r="A628" t="s">
        <v>651</v>
      </c>
      <c r="B628" t="s">
        <v>54</v>
      </c>
      <c r="C628" s="1">
        <v>44764</v>
      </c>
      <c r="D628" t="s">
        <v>62</v>
      </c>
      <c r="E628" t="s">
        <v>66</v>
      </c>
      <c r="F628">
        <v>130</v>
      </c>
      <c r="G628" t="s">
        <v>2</v>
      </c>
      <c r="H628" s="2">
        <v>3</v>
      </c>
      <c r="I628" s="3">
        <f t="shared" ca="1" si="1"/>
        <v>0.64178172339600015</v>
      </c>
      <c r="J628">
        <f>PRODUCT(Table3[[#This Row],[Price of One Product]],Table3[[#This Row],[No of Products in one Sale]])</f>
        <v>390</v>
      </c>
      <c r="K628" s="6">
        <f ca="1">Table3[[#This Row],[Actual Sale]]*(1-Table3[[#This Row],[Discount]])</f>
        <v>139.70512787555995</v>
      </c>
      <c r="L628" t="str">
        <f>TEXT(Table3[[#This Row],[Sale Date]],"dddd")</f>
        <v>Friday</v>
      </c>
    </row>
    <row r="629" spans="1:12" x14ac:dyDescent="0.3">
      <c r="A629" t="s">
        <v>652</v>
      </c>
      <c r="B629" t="s">
        <v>55</v>
      </c>
      <c r="C629" s="1">
        <v>44795</v>
      </c>
      <c r="D629" t="s">
        <v>63</v>
      </c>
      <c r="E629" t="s">
        <v>67</v>
      </c>
      <c r="F629">
        <v>60</v>
      </c>
      <c r="G629" t="s">
        <v>0</v>
      </c>
      <c r="H629" s="2">
        <v>4</v>
      </c>
      <c r="I629" s="3">
        <f t="shared" ca="1" si="1"/>
        <v>0.57218243487726084</v>
      </c>
      <c r="J629">
        <f>PRODUCT(Table3[[#This Row],[Price of One Product]],Table3[[#This Row],[No of Products in one Sale]])</f>
        <v>240</v>
      </c>
      <c r="K629" s="6">
        <f ca="1">Table3[[#This Row],[Actual Sale]]*(1-Table3[[#This Row],[Discount]])</f>
        <v>102.6762156294574</v>
      </c>
      <c r="L629" t="str">
        <f>TEXT(Table3[[#This Row],[Sale Date]],"dddd")</f>
        <v>Monday</v>
      </c>
    </row>
    <row r="630" spans="1:12" x14ac:dyDescent="0.3">
      <c r="A630" t="s">
        <v>653</v>
      </c>
      <c r="B630" t="s">
        <v>56</v>
      </c>
      <c r="C630" s="1">
        <v>44799</v>
      </c>
      <c r="D630" t="s">
        <v>64</v>
      </c>
      <c r="E630" t="s">
        <v>66</v>
      </c>
      <c r="F630">
        <v>95</v>
      </c>
      <c r="G630" t="s">
        <v>1</v>
      </c>
      <c r="H630" s="2">
        <v>4</v>
      </c>
      <c r="I630" s="3">
        <f t="shared" ref="I630:I693" ca="1" si="2">RAND()</f>
        <v>0.95557667031108895</v>
      </c>
      <c r="J630">
        <f>PRODUCT(Table3[[#This Row],[Price of One Product]],Table3[[#This Row],[No of Products in one Sale]])</f>
        <v>380</v>
      </c>
      <c r="K630" s="6">
        <f ca="1">Table3[[#This Row],[Actual Sale]]*(1-Table3[[#This Row],[Discount]])</f>
        <v>16.8808652817862</v>
      </c>
      <c r="L630" t="str">
        <f>TEXT(Table3[[#This Row],[Sale Date]],"dddd")</f>
        <v>Friday</v>
      </c>
    </row>
    <row r="631" spans="1:12" x14ac:dyDescent="0.3">
      <c r="A631" t="s">
        <v>654</v>
      </c>
      <c r="B631" t="s">
        <v>51</v>
      </c>
      <c r="C631" s="1">
        <v>44800</v>
      </c>
      <c r="D631" t="s">
        <v>59</v>
      </c>
      <c r="E631" t="s">
        <v>66</v>
      </c>
      <c r="F631">
        <v>72</v>
      </c>
      <c r="G631" t="s">
        <v>2</v>
      </c>
      <c r="H631" s="2">
        <v>8</v>
      </c>
      <c r="I631" s="3">
        <f t="shared" ca="1" si="2"/>
        <v>7.7863028980981852E-2</v>
      </c>
      <c r="J631">
        <f>PRODUCT(Table3[[#This Row],[Price of One Product]],Table3[[#This Row],[No of Products in one Sale]])</f>
        <v>576</v>
      </c>
      <c r="K631" s="6">
        <f ca="1">Table3[[#This Row],[Actual Sale]]*(1-Table3[[#This Row],[Discount]])</f>
        <v>531.15089530695445</v>
      </c>
      <c r="L631" t="str">
        <f>TEXT(Table3[[#This Row],[Sale Date]],"dddd")</f>
        <v>Saturday</v>
      </c>
    </row>
    <row r="632" spans="1:12" x14ac:dyDescent="0.3">
      <c r="A632" t="s">
        <v>655</v>
      </c>
      <c r="B632" t="s">
        <v>52</v>
      </c>
      <c r="C632" s="1">
        <v>44771</v>
      </c>
      <c r="D632" t="s">
        <v>60</v>
      </c>
      <c r="E632" t="s">
        <v>66</v>
      </c>
      <c r="F632">
        <v>65</v>
      </c>
      <c r="G632" t="s">
        <v>0</v>
      </c>
      <c r="H632" s="2">
        <v>12</v>
      </c>
      <c r="I632" s="3">
        <f t="shared" ca="1" si="2"/>
        <v>0.87449821489311441</v>
      </c>
      <c r="J632">
        <f>PRODUCT(Table3[[#This Row],[Price of One Product]],Table3[[#This Row],[No of Products in one Sale]])</f>
        <v>780</v>
      </c>
      <c r="K632" s="6">
        <f ca="1">Table3[[#This Row],[Actual Sale]]*(1-Table3[[#This Row],[Discount]])</f>
        <v>97.891392383370757</v>
      </c>
      <c r="L632" t="str">
        <f>TEXT(Table3[[#This Row],[Sale Date]],"dddd")</f>
        <v>Friday</v>
      </c>
    </row>
    <row r="633" spans="1:12" x14ac:dyDescent="0.3">
      <c r="A633" t="s">
        <v>656</v>
      </c>
      <c r="B633" t="s">
        <v>53</v>
      </c>
      <c r="C633" s="1">
        <v>44760</v>
      </c>
      <c r="D633" t="s">
        <v>61</v>
      </c>
      <c r="E633" t="s">
        <v>67</v>
      </c>
      <c r="F633">
        <v>250</v>
      </c>
      <c r="G633" t="s">
        <v>1</v>
      </c>
      <c r="H633" s="2">
        <v>3</v>
      </c>
      <c r="I633" s="3">
        <f t="shared" ca="1" si="2"/>
        <v>0.95161718409327356</v>
      </c>
      <c r="J633">
        <f>PRODUCT(Table3[[#This Row],[Price of One Product]],Table3[[#This Row],[No of Products in one Sale]])</f>
        <v>750</v>
      </c>
      <c r="K633" s="6">
        <f ca="1">Table3[[#This Row],[Actual Sale]]*(1-Table3[[#This Row],[Discount]])</f>
        <v>36.28711193004483</v>
      </c>
      <c r="L633" t="str">
        <f>TEXT(Table3[[#This Row],[Sale Date]],"dddd")</f>
        <v>Monday</v>
      </c>
    </row>
    <row r="634" spans="1:12" x14ac:dyDescent="0.3">
      <c r="A634" t="s">
        <v>657</v>
      </c>
      <c r="B634" t="s">
        <v>54</v>
      </c>
      <c r="C634" s="1">
        <v>44778</v>
      </c>
      <c r="D634" t="s">
        <v>62</v>
      </c>
      <c r="E634" t="s">
        <v>67</v>
      </c>
      <c r="F634">
        <v>130</v>
      </c>
      <c r="G634" t="s">
        <v>2</v>
      </c>
      <c r="H634" s="2">
        <v>2</v>
      </c>
      <c r="I634" s="3">
        <f t="shared" ca="1" si="2"/>
        <v>0.65989006812805384</v>
      </c>
      <c r="J634">
        <f>PRODUCT(Table3[[#This Row],[Price of One Product]],Table3[[#This Row],[No of Products in one Sale]])</f>
        <v>260</v>
      </c>
      <c r="K634" s="6">
        <f ca="1">Table3[[#This Row],[Actual Sale]]*(1-Table3[[#This Row],[Discount]])</f>
        <v>88.428582286706003</v>
      </c>
      <c r="L634" t="str">
        <f>TEXT(Table3[[#This Row],[Sale Date]],"dddd")</f>
        <v>Friday</v>
      </c>
    </row>
    <row r="635" spans="1:12" x14ac:dyDescent="0.3">
      <c r="A635" t="s">
        <v>658</v>
      </c>
      <c r="B635" t="s">
        <v>51</v>
      </c>
      <c r="C635" s="1">
        <v>44755</v>
      </c>
      <c r="D635" t="s">
        <v>59</v>
      </c>
      <c r="E635" t="s">
        <v>67</v>
      </c>
      <c r="F635">
        <v>72</v>
      </c>
      <c r="G635" t="s">
        <v>0</v>
      </c>
      <c r="H635" s="2">
        <v>10</v>
      </c>
      <c r="I635" s="3">
        <f t="shared" ca="1" si="2"/>
        <v>0.3083984838224807</v>
      </c>
      <c r="J635">
        <f>PRODUCT(Table3[[#This Row],[Price of One Product]],Table3[[#This Row],[No of Products in one Sale]])</f>
        <v>720</v>
      </c>
      <c r="K635" s="6">
        <f ca="1">Table3[[#This Row],[Actual Sale]]*(1-Table3[[#This Row],[Discount]])</f>
        <v>497.95309164781389</v>
      </c>
      <c r="L635" t="str">
        <f>TEXT(Table3[[#This Row],[Sale Date]],"dddd")</f>
        <v>Wednesday</v>
      </c>
    </row>
    <row r="636" spans="1:12" x14ac:dyDescent="0.3">
      <c r="A636" t="s">
        <v>659</v>
      </c>
      <c r="B636" t="s">
        <v>52</v>
      </c>
      <c r="C636" s="1">
        <v>44770</v>
      </c>
      <c r="D636" t="s">
        <v>60</v>
      </c>
      <c r="E636" t="s">
        <v>67</v>
      </c>
      <c r="F636">
        <v>65</v>
      </c>
      <c r="G636" t="s">
        <v>1</v>
      </c>
      <c r="H636" s="2">
        <v>9</v>
      </c>
      <c r="I636" s="3">
        <f t="shared" ca="1" si="2"/>
        <v>0.11934673757260261</v>
      </c>
      <c r="J636">
        <f>PRODUCT(Table3[[#This Row],[Price of One Product]],Table3[[#This Row],[No of Products in one Sale]])</f>
        <v>585</v>
      </c>
      <c r="K636" s="6">
        <f ca="1">Table3[[#This Row],[Actual Sale]]*(1-Table3[[#This Row],[Discount]])</f>
        <v>515.18215852002743</v>
      </c>
      <c r="L636" t="str">
        <f>TEXT(Table3[[#This Row],[Sale Date]],"dddd")</f>
        <v>Thursday</v>
      </c>
    </row>
    <row r="637" spans="1:12" x14ac:dyDescent="0.3">
      <c r="A637" t="s">
        <v>660</v>
      </c>
      <c r="B637" t="s">
        <v>53</v>
      </c>
      <c r="C637" s="1">
        <v>44772</v>
      </c>
      <c r="D637" t="s">
        <v>61</v>
      </c>
      <c r="E637" t="s">
        <v>67</v>
      </c>
      <c r="F637">
        <v>250</v>
      </c>
      <c r="G637" t="s">
        <v>2</v>
      </c>
      <c r="H637" s="2">
        <v>2</v>
      </c>
      <c r="I637" s="3">
        <f t="shared" ca="1" si="2"/>
        <v>0.60274387106474148</v>
      </c>
      <c r="J637">
        <f>PRODUCT(Table3[[#This Row],[Price of One Product]],Table3[[#This Row],[No of Products in one Sale]])</f>
        <v>500</v>
      </c>
      <c r="K637" s="6">
        <f ca="1">Table3[[#This Row],[Actual Sale]]*(1-Table3[[#This Row],[Discount]])</f>
        <v>198.62806446762926</v>
      </c>
      <c r="L637" t="str">
        <f>TEXT(Table3[[#This Row],[Sale Date]],"dddd")</f>
        <v>Saturday</v>
      </c>
    </row>
    <row r="638" spans="1:12" x14ac:dyDescent="0.3">
      <c r="A638" t="s">
        <v>661</v>
      </c>
      <c r="B638" t="s">
        <v>54</v>
      </c>
      <c r="C638" s="1">
        <v>44799</v>
      </c>
      <c r="D638" t="s">
        <v>62</v>
      </c>
      <c r="E638" t="s">
        <v>67</v>
      </c>
      <c r="F638">
        <v>130</v>
      </c>
      <c r="G638" t="s">
        <v>0</v>
      </c>
      <c r="H638" s="2">
        <v>3</v>
      </c>
      <c r="I638" s="3">
        <f t="shared" ca="1" si="2"/>
        <v>0.141594291063458</v>
      </c>
      <c r="J638">
        <f>PRODUCT(Table3[[#This Row],[Price of One Product]],Table3[[#This Row],[No of Products in one Sale]])</f>
        <v>390</v>
      </c>
      <c r="K638" s="6">
        <f ca="1">Table3[[#This Row],[Actual Sale]]*(1-Table3[[#This Row],[Discount]])</f>
        <v>334.77822648525137</v>
      </c>
      <c r="L638" t="str">
        <f>TEXT(Table3[[#This Row],[Sale Date]],"dddd")</f>
        <v>Friday</v>
      </c>
    </row>
    <row r="639" spans="1:12" x14ac:dyDescent="0.3">
      <c r="A639" t="s">
        <v>662</v>
      </c>
      <c r="B639" t="s">
        <v>51</v>
      </c>
      <c r="C639" s="1">
        <v>44782</v>
      </c>
      <c r="D639" t="s">
        <v>59</v>
      </c>
      <c r="E639" t="s">
        <v>66</v>
      </c>
      <c r="F639">
        <v>72</v>
      </c>
      <c r="G639" t="s">
        <v>0</v>
      </c>
      <c r="H639" s="2">
        <v>9</v>
      </c>
      <c r="I639" s="3">
        <f t="shared" ca="1" si="2"/>
        <v>2.7188364078807425E-2</v>
      </c>
      <c r="J639">
        <f>PRODUCT(Table3[[#This Row],[Price of One Product]],Table3[[#This Row],[No of Products in one Sale]])</f>
        <v>648</v>
      </c>
      <c r="K639" s="6">
        <f ca="1">Table3[[#This Row],[Actual Sale]]*(1-Table3[[#This Row],[Discount]])</f>
        <v>630.38194007693278</v>
      </c>
      <c r="L639" t="str">
        <f>TEXT(Table3[[#This Row],[Sale Date]],"dddd")</f>
        <v>Tuesday</v>
      </c>
    </row>
    <row r="640" spans="1:12" x14ac:dyDescent="0.3">
      <c r="A640" t="s">
        <v>663</v>
      </c>
      <c r="B640" t="s">
        <v>52</v>
      </c>
      <c r="C640" s="1">
        <v>44761</v>
      </c>
      <c r="D640" t="s">
        <v>60</v>
      </c>
      <c r="E640" t="s">
        <v>67</v>
      </c>
      <c r="F640">
        <v>65</v>
      </c>
      <c r="G640" t="s">
        <v>1</v>
      </c>
      <c r="H640" s="2">
        <v>6</v>
      </c>
      <c r="I640" s="3">
        <f t="shared" ca="1" si="2"/>
        <v>0.35949712876209161</v>
      </c>
      <c r="J640">
        <f>PRODUCT(Table3[[#This Row],[Price of One Product]],Table3[[#This Row],[No of Products in one Sale]])</f>
        <v>390</v>
      </c>
      <c r="K640" s="6">
        <f ca="1">Table3[[#This Row],[Actual Sale]]*(1-Table3[[#This Row],[Discount]])</f>
        <v>249.79611978278427</v>
      </c>
      <c r="L640" t="str">
        <f>TEXT(Table3[[#This Row],[Sale Date]],"dddd")</f>
        <v>Tuesday</v>
      </c>
    </row>
    <row r="641" spans="1:12" x14ac:dyDescent="0.3">
      <c r="A641" t="s">
        <v>664</v>
      </c>
      <c r="B641" t="s">
        <v>53</v>
      </c>
      <c r="C641" s="1">
        <v>44794</v>
      </c>
      <c r="D641" t="s">
        <v>61</v>
      </c>
      <c r="E641" t="s">
        <v>66</v>
      </c>
      <c r="F641">
        <v>250</v>
      </c>
      <c r="G641" t="s">
        <v>2</v>
      </c>
      <c r="H641" s="2">
        <v>3</v>
      </c>
      <c r="I641" s="3">
        <f t="shared" ca="1" si="2"/>
        <v>0.76020405379478717</v>
      </c>
      <c r="J641">
        <f>PRODUCT(Table3[[#This Row],[Price of One Product]],Table3[[#This Row],[No of Products in one Sale]])</f>
        <v>750</v>
      </c>
      <c r="K641" s="6">
        <f ca="1">Table3[[#This Row],[Actual Sale]]*(1-Table3[[#This Row],[Discount]])</f>
        <v>179.84695965390961</v>
      </c>
      <c r="L641" t="str">
        <f>TEXT(Table3[[#This Row],[Sale Date]],"dddd")</f>
        <v>Sunday</v>
      </c>
    </row>
    <row r="642" spans="1:12" x14ac:dyDescent="0.3">
      <c r="A642" t="s">
        <v>665</v>
      </c>
      <c r="B642" t="s">
        <v>54</v>
      </c>
      <c r="C642" s="1">
        <v>44762</v>
      </c>
      <c r="D642" t="s">
        <v>62</v>
      </c>
      <c r="E642" t="s">
        <v>67</v>
      </c>
      <c r="F642">
        <v>130</v>
      </c>
      <c r="G642" t="s">
        <v>0</v>
      </c>
      <c r="H642" s="2">
        <v>3</v>
      </c>
      <c r="I642" s="3">
        <f t="shared" ca="1" si="2"/>
        <v>0.52772357943604886</v>
      </c>
      <c r="J642">
        <f>PRODUCT(Table3[[#This Row],[Price of One Product]],Table3[[#This Row],[No of Products in one Sale]])</f>
        <v>390</v>
      </c>
      <c r="K642" s="6">
        <f ca="1">Table3[[#This Row],[Actual Sale]]*(1-Table3[[#This Row],[Discount]])</f>
        <v>184.18780401994096</v>
      </c>
      <c r="L642" t="str">
        <f>TEXT(Table3[[#This Row],[Sale Date]],"dddd")</f>
        <v>Wednesday</v>
      </c>
    </row>
    <row r="643" spans="1:12" x14ac:dyDescent="0.3">
      <c r="A643" t="s">
        <v>666</v>
      </c>
      <c r="B643" t="s">
        <v>51</v>
      </c>
      <c r="C643" s="1">
        <v>44769</v>
      </c>
      <c r="D643" t="s">
        <v>59</v>
      </c>
      <c r="E643" t="s">
        <v>66</v>
      </c>
      <c r="F643">
        <v>72</v>
      </c>
      <c r="G643" t="s">
        <v>1</v>
      </c>
      <c r="H643" s="2">
        <v>11</v>
      </c>
      <c r="I643" s="3">
        <f t="shared" ca="1" si="2"/>
        <v>0.67505621557296158</v>
      </c>
      <c r="J643">
        <f>PRODUCT(Table3[[#This Row],[Price of One Product]],Table3[[#This Row],[No of Products in one Sale]])</f>
        <v>792</v>
      </c>
      <c r="K643" s="6">
        <f ca="1">Table3[[#This Row],[Actual Sale]]*(1-Table3[[#This Row],[Discount]])</f>
        <v>257.35547726621445</v>
      </c>
      <c r="L643" t="str">
        <f>TEXT(Table3[[#This Row],[Sale Date]],"dddd")</f>
        <v>Wednesday</v>
      </c>
    </row>
    <row r="644" spans="1:12" x14ac:dyDescent="0.3">
      <c r="A644" t="s">
        <v>667</v>
      </c>
      <c r="B644" t="s">
        <v>52</v>
      </c>
      <c r="C644" s="1">
        <v>44770</v>
      </c>
      <c r="D644" t="s">
        <v>60</v>
      </c>
      <c r="E644" t="s">
        <v>67</v>
      </c>
      <c r="F644">
        <v>65</v>
      </c>
      <c r="G644" t="s">
        <v>2</v>
      </c>
      <c r="H644" s="2">
        <v>13</v>
      </c>
      <c r="I644" s="3">
        <f t="shared" ca="1" si="2"/>
        <v>6.498550060668129E-2</v>
      </c>
      <c r="J644">
        <f>PRODUCT(Table3[[#This Row],[Price of One Product]],Table3[[#This Row],[No of Products in one Sale]])</f>
        <v>845</v>
      </c>
      <c r="K644" s="6">
        <f ca="1">Table3[[#This Row],[Actual Sale]]*(1-Table3[[#This Row],[Discount]])</f>
        <v>790.08725198735431</v>
      </c>
      <c r="L644" t="str">
        <f>TEXT(Table3[[#This Row],[Sale Date]],"dddd")</f>
        <v>Thursday</v>
      </c>
    </row>
    <row r="645" spans="1:12" x14ac:dyDescent="0.3">
      <c r="A645" t="s">
        <v>668</v>
      </c>
      <c r="B645" t="s">
        <v>53</v>
      </c>
      <c r="C645" s="1">
        <v>44797</v>
      </c>
      <c r="D645" t="s">
        <v>61</v>
      </c>
      <c r="E645" t="s">
        <v>66</v>
      </c>
      <c r="F645">
        <v>250</v>
      </c>
      <c r="G645" t="s">
        <v>0</v>
      </c>
      <c r="H645" s="2">
        <v>3</v>
      </c>
      <c r="I645" s="3">
        <f t="shared" ca="1" si="2"/>
        <v>0.65579593839051609</v>
      </c>
      <c r="J645">
        <f>PRODUCT(Table3[[#This Row],[Price of One Product]],Table3[[#This Row],[No of Products in one Sale]])</f>
        <v>750</v>
      </c>
      <c r="K645" s="6">
        <f ca="1">Table3[[#This Row],[Actual Sale]]*(1-Table3[[#This Row],[Discount]])</f>
        <v>258.15304620711294</v>
      </c>
      <c r="L645" t="str">
        <f>TEXT(Table3[[#This Row],[Sale Date]],"dddd")</f>
        <v>Wednesday</v>
      </c>
    </row>
    <row r="646" spans="1:12" x14ac:dyDescent="0.3">
      <c r="A646" t="s">
        <v>669</v>
      </c>
      <c r="B646" t="s">
        <v>54</v>
      </c>
      <c r="C646" s="1">
        <v>44783</v>
      </c>
      <c r="D646" t="s">
        <v>62</v>
      </c>
      <c r="E646" t="s">
        <v>67</v>
      </c>
      <c r="F646">
        <v>130</v>
      </c>
      <c r="G646" t="s">
        <v>1</v>
      </c>
      <c r="H646" s="2">
        <v>3</v>
      </c>
      <c r="I646" s="3">
        <f t="shared" ca="1" si="2"/>
        <v>0.73519613890102264</v>
      </c>
      <c r="J646">
        <f>PRODUCT(Table3[[#This Row],[Price of One Product]],Table3[[#This Row],[No of Products in one Sale]])</f>
        <v>390</v>
      </c>
      <c r="K646" s="6">
        <f ca="1">Table3[[#This Row],[Actual Sale]]*(1-Table3[[#This Row],[Discount]])</f>
        <v>103.27350582860117</v>
      </c>
      <c r="L646" t="str">
        <f>TEXT(Table3[[#This Row],[Sale Date]],"dddd")</f>
        <v>Wednesday</v>
      </c>
    </row>
    <row r="647" spans="1:12" x14ac:dyDescent="0.3">
      <c r="A647" t="s">
        <v>670</v>
      </c>
      <c r="B647" t="s">
        <v>55</v>
      </c>
      <c r="C647" s="1">
        <v>44801</v>
      </c>
      <c r="D647" t="s">
        <v>63</v>
      </c>
      <c r="E647" t="s">
        <v>66</v>
      </c>
      <c r="F647">
        <v>60</v>
      </c>
      <c r="G647" t="s">
        <v>2</v>
      </c>
      <c r="H647" s="2">
        <v>6</v>
      </c>
      <c r="I647" s="3">
        <f t="shared" ca="1" si="2"/>
        <v>0.6785256156000028</v>
      </c>
      <c r="J647">
        <f>PRODUCT(Table3[[#This Row],[Price of One Product]],Table3[[#This Row],[No of Products in one Sale]])</f>
        <v>360</v>
      </c>
      <c r="K647" s="6">
        <f ca="1">Table3[[#This Row],[Actual Sale]]*(1-Table3[[#This Row],[Discount]])</f>
        <v>115.730778383999</v>
      </c>
      <c r="L647" t="str">
        <f>TEXT(Table3[[#This Row],[Sale Date]],"dddd")</f>
        <v>Sunday</v>
      </c>
    </row>
    <row r="648" spans="1:12" x14ac:dyDescent="0.3">
      <c r="A648" t="s">
        <v>671</v>
      </c>
      <c r="B648" t="s">
        <v>51</v>
      </c>
      <c r="C648" s="1">
        <v>44808</v>
      </c>
      <c r="D648" t="s">
        <v>59</v>
      </c>
      <c r="E648" t="s">
        <v>67</v>
      </c>
      <c r="F648">
        <v>72</v>
      </c>
      <c r="G648" t="s">
        <v>0</v>
      </c>
      <c r="H648" s="2">
        <v>6</v>
      </c>
      <c r="I648" s="3">
        <f t="shared" ca="1" si="2"/>
        <v>0.4243773568671394</v>
      </c>
      <c r="J648">
        <f>PRODUCT(Table3[[#This Row],[Price of One Product]],Table3[[#This Row],[No of Products in one Sale]])</f>
        <v>432</v>
      </c>
      <c r="K648" s="6">
        <f ca="1">Table3[[#This Row],[Actual Sale]]*(1-Table3[[#This Row],[Discount]])</f>
        <v>248.66898183339578</v>
      </c>
      <c r="L648" t="str">
        <f>TEXT(Table3[[#This Row],[Sale Date]],"dddd")</f>
        <v>Sunday</v>
      </c>
    </row>
    <row r="649" spans="1:12" x14ac:dyDescent="0.3">
      <c r="A649" t="s">
        <v>672</v>
      </c>
      <c r="B649" t="s">
        <v>52</v>
      </c>
      <c r="C649" s="1">
        <v>44808</v>
      </c>
      <c r="D649" t="s">
        <v>60</v>
      </c>
      <c r="E649" t="s">
        <v>66</v>
      </c>
      <c r="F649">
        <v>65</v>
      </c>
      <c r="G649" t="s">
        <v>1</v>
      </c>
      <c r="H649" s="2">
        <v>5</v>
      </c>
      <c r="I649" s="3">
        <f t="shared" ca="1" si="2"/>
        <v>0.11239884647263565</v>
      </c>
      <c r="J649">
        <f>PRODUCT(Table3[[#This Row],[Price of One Product]],Table3[[#This Row],[No of Products in one Sale]])</f>
        <v>325</v>
      </c>
      <c r="K649" s="6">
        <f ca="1">Table3[[#This Row],[Actual Sale]]*(1-Table3[[#This Row],[Discount]])</f>
        <v>288.47037489639342</v>
      </c>
      <c r="L649" t="str">
        <f>TEXT(Table3[[#This Row],[Sale Date]],"dddd")</f>
        <v>Sunday</v>
      </c>
    </row>
    <row r="650" spans="1:12" x14ac:dyDescent="0.3">
      <c r="A650" t="s">
        <v>673</v>
      </c>
      <c r="B650" t="s">
        <v>53</v>
      </c>
      <c r="C650" s="1">
        <v>44781</v>
      </c>
      <c r="D650" t="s">
        <v>61</v>
      </c>
      <c r="E650" t="s">
        <v>67</v>
      </c>
      <c r="F650">
        <v>250</v>
      </c>
      <c r="G650" t="s">
        <v>2</v>
      </c>
      <c r="H650" s="2">
        <v>3</v>
      </c>
      <c r="I650" s="3">
        <f t="shared" ca="1" si="2"/>
        <v>6.5762696919217212E-2</v>
      </c>
      <c r="J650">
        <f>PRODUCT(Table3[[#This Row],[Price of One Product]],Table3[[#This Row],[No of Products in one Sale]])</f>
        <v>750</v>
      </c>
      <c r="K650" s="6">
        <f ca="1">Table3[[#This Row],[Actual Sale]]*(1-Table3[[#This Row],[Discount]])</f>
        <v>700.67797731058704</v>
      </c>
      <c r="L650" t="str">
        <f>TEXT(Table3[[#This Row],[Sale Date]],"dddd")</f>
        <v>Monday</v>
      </c>
    </row>
    <row r="651" spans="1:12" x14ac:dyDescent="0.3">
      <c r="A651" t="s">
        <v>674</v>
      </c>
      <c r="B651" t="s">
        <v>54</v>
      </c>
      <c r="C651" s="1">
        <v>44783</v>
      </c>
      <c r="D651" t="s">
        <v>62</v>
      </c>
      <c r="E651" t="s">
        <v>66</v>
      </c>
      <c r="F651">
        <v>130</v>
      </c>
      <c r="G651" t="s">
        <v>0</v>
      </c>
      <c r="H651" s="2">
        <v>6</v>
      </c>
      <c r="I651" s="3">
        <f t="shared" ca="1" si="2"/>
        <v>0.36362834765159568</v>
      </c>
      <c r="J651">
        <f>PRODUCT(Table3[[#This Row],[Price of One Product]],Table3[[#This Row],[No of Products in one Sale]])</f>
        <v>780</v>
      </c>
      <c r="K651" s="6">
        <f ca="1">Table3[[#This Row],[Actual Sale]]*(1-Table3[[#This Row],[Discount]])</f>
        <v>496.36988883175536</v>
      </c>
      <c r="L651" t="str">
        <f>TEXT(Table3[[#This Row],[Sale Date]],"dddd")</f>
        <v>Wednesday</v>
      </c>
    </row>
    <row r="652" spans="1:12" x14ac:dyDescent="0.3">
      <c r="A652" t="s">
        <v>675</v>
      </c>
      <c r="B652" t="s">
        <v>51</v>
      </c>
      <c r="C652" s="1">
        <v>44762</v>
      </c>
      <c r="D652" t="s">
        <v>59</v>
      </c>
      <c r="E652" t="s">
        <v>67</v>
      </c>
      <c r="F652">
        <v>72</v>
      </c>
      <c r="G652" t="s">
        <v>1</v>
      </c>
      <c r="H652" s="2">
        <v>5</v>
      </c>
      <c r="I652" s="3">
        <f t="shared" ca="1" si="2"/>
        <v>0.89884820027018042</v>
      </c>
      <c r="J652">
        <f>PRODUCT(Table3[[#This Row],[Price of One Product]],Table3[[#This Row],[No of Products in one Sale]])</f>
        <v>360</v>
      </c>
      <c r="K652" s="6">
        <f ca="1">Table3[[#This Row],[Actual Sale]]*(1-Table3[[#This Row],[Discount]])</f>
        <v>36.414647902735048</v>
      </c>
      <c r="L652" t="str">
        <f>TEXT(Table3[[#This Row],[Sale Date]],"dddd")</f>
        <v>Wednesday</v>
      </c>
    </row>
    <row r="653" spans="1:12" x14ac:dyDescent="0.3">
      <c r="A653" t="s">
        <v>676</v>
      </c>
      <c r="B653" t="s">
        <v>52</v>
      </c>
      <c r="C653" s="1">
        <v>44800</v>
      </c>
      <c r="D653" t="s">
        <v>60</v>
      </c>
      <c r="E653" t="s">
        <v>66</v>
      </c>
      <c r="F653">
        <v>65</v>
      </c>
      <c r="G653" t="s">
        <v>2</v>
      </c>
      <c r="H653" s="2">
        <v>10</v>
      </c>
      <c r="I653" s="3">
        <f t="shared" ca="1" si="2"/>
        <v>0.80337396918590831</v>
      </c>
      <c r="J653">
        <f>PRODUCT(Table3[[#This Row],[Price of One Product]],Table3[[#This Row],[No of Products in one Sale]])</f>
        <v>650</v>
      </c>
      <c r="K653" s="6">
        <f ca="1">Table3[[#This Row],[Actual Sale]]*(1-Table3[[#This Row],[Discount]])</f>
        <v>127.8069200291596</v>
      </c>
      <c r="L653" t="str">
        <f>TEXT(Table3[[#This Row],[Sale Date]],"dddd")</f>
        <v>Saturday</v>
      </c>
    </row>
    <row r="654" spans="1:12" x14ac:dyDescent="0.3">
      <c r="A654" t="s">
        <v>677</v>
      </c>
      <c r="B654" t="s">
        <v>53</v>
      </c>
      <c r="C654" s="1">
        <v>44799</v>
      </c>
      <c r="D654" t="s">
        <v>61</v>
      </c>
      <c r="E654" t="s">
        <v>67</v>
      </c>
      <c r="F654">
        <v>250</v>
      </c>
      <c r="G654" t="s">
        <v>0</v>
      </c>
      <c r="H654" s="2">
        <v>2</v>
      </c>
      <c r="I654" s="3">
        <f t="shared" ca="1" si="2"/>
        <v>0.24423870346904686</v>
      </c>
      <c r="J654">
        <f>PRODUCT(Table3[[#This Row],[Price of One Product]],Table3[[#This Row],[No of Products in one Sale]])</f>
        <v>500</v>
      </c>
      <c r="K654" s="6">
        <f ca="1">Table3[[#This Row],[Actual Sale]]*(1-Table3[[#This Row],[Discount]])</f>
        <v>377.88064826547657</v>
      </c>
      <c r="L654" t="str">
        <f>TEXT(Table3[[#This Row],[Sale Date]],"dddd")</f>
        <v>Friday</v>
      </c>
    </row>
    <row r="655" spans="1:12" x14ac:dyDescent="0.3">
      <c r="A655" t="s">
        <v>678</v>
      </c>
      <c r="B655" t="s">
        <v>54</v>
      </c>
      <c r="C655" s="1">
        <v>44777</v>
      </c>
      <c r="D655" t="s">
        <v>62</v>
      </c>
      <c r="E655" t="s">
        <v>66</v>
      </c>
      <c r="F655">
        <v>130</v>
      </c>
      <c r="G655" t="s">
        <v>1</v>
      </c>
      <c r="H655" s="2">
        <v>2</v>
      </c>
      <c r="I655" s="3">
        <f t="shared" ca="1" si="2"/>
        <v>6.9281986055900968E-2</v>
      </c>
      <c r="J655">
        <f>PRODUCT(Table3[[#This Row],[Price of One Product]],Table3[[#This Row],[No of Products in one Sale]])</f>
        <v>260</v>
      </c>
      <c r="K655" s="6">
        <f ca="1">Table3[[#This Row],[Actual Sale]]*(1-Table3[[#This Row],[Discount]])</f>
        <v>241.98668362546576</v>
      </c>
      <c r="L655" t="str">
        <f>TEXT(Table3[[#This Row],[Sale Date]],"dddd")</f>
        <v>Thursday</v>
      </c>
    </row>
    <row r="656" spans="1:12" x14ac:dyDescent="0.3">
      <c r="A656" t="s">
        <v>679</v>
      </c>
      <c r="B656" t="s">
        <v>55</v>
      </c>
      <c r="C656" s="1">
        <v>44800</v>
      </c>
      <c r="D656" t="s">
        <v>63</v>
      </c>
      <c r="E656" t="s">
        <v>66</v>
      </c>
      <c r="F656">
        <v>60</v>
      </c>
      <c r="G656" t="s">
        <v>2</v>
      </c>
      <c r="H656" s="2">
        <v>10</v>
      </c>
      <c r="I656" s="3">
        <f t="shared" ca="1" si="2"/>
        <v>0.80118768940409113</v>
      </c>
      <c r="J656">
        <f>PRODUCT(Table3[[#This Row],[Price of One Product]],Table3[[#This Row],[No of Products in one Sale]])</f>
        <v>600</v>
      </c>
      <c r="K656" s="6">
        <f ca="1">Table3[[#This Row],[Actual Sale]]*(1-Table3[[#This Row],[Discount]])</f>
        <v>119.28738635754532</v>
      </c>
      <c r="L656" t="str">
        <f>TEXT(Table3[[#This Row],[Sale Date]],"dddd")</f>
        <v>Saturday</v>
      </c>
    </row>
    <row r="657" spans="1:12" x14ac:dyDescent="0.3">
      <c r="A657" t="s">
        <v>680</v>
      </c>
      <c r="B657" t="s">
        <v>56</v>
      </c>
      <c r="C657" s="1">
        <v>44770</v>
      </c>
      <c r="D657" t="s">
        <v>64</v>
      </c>
      <c r="E657" t="s">
        <v>67</v>
      </c>
      <c r="F657">
        <v>95</v>
      </c>
      <c r="G657" t="s">
        <v>0</v>
      </c>
      <c r="H657" s="2">
        <v>3</v>
      </c>
      <c r="I657" s="3">
        <f t="shared" ca="1" si="2"/>
        <v>0.82952935504855163</v>
      </c>
      <c r="J657">
        <f>PRODUCT(Table3[[#This Row],[Price of One Product]],Table3[[#This Row],[No of Products in one Sale]])</f>
        <v>285</v>
      </c>
      <c r="K657" s="6">
        <f ca="1">Table3[[#This Row],[Actual Sale]]*(1-Table3[[#This Row],[Discount]])</f>
        <v>48.584133811162786</v>
      </c>
      <c r="L657" t="str">
        <f>TEXT(Table3[[#This Row],[Sale Date]],"dddd")</f>
        <v>Thursday</v>
      </c>
    </row>
    <row r="658" spans="1:12" x14ac:dyDescent="0.3">
      <c r="A658" t="s">
        <v>681</v>
      </c>
      <c r="B658" t="s">
        <v>51</v>
      </c>
      <c r="C658" s="1">
        <v>44774</v>
      </c>
      <c r="D658" t="s">
        <v>59</v>
      </c>
      <c r="E658" t="s">
        <v>67</v>
      </c>
      <c r="F658">
        <v>72</v>
      </c>
      <c r="G658" t="s">
        <v>1</v>
      </c>
      <c r="H658" s="2">
        <v>6</v>
      </c>
      <c r="I658" s="3">
        <f t="shared" ca="1" si="2"/>
        <v>0.56938743212412923</v>
      </c>
      <c r="J658">
        <f>PRODUCT(Table3[[#This Row],[Price of One Product]],Table3[[#This Row],[No of Products in one Sale]])</f>
        <v>432</v>
      </c>
      <c r="K658" s="6">
        <f ca="1">Table3[[#This Row],[Actual Sale]]*(1-Table3[[#This Row],[Discount]])</f>
        <v>186.02462932237617</v>
      </c>
      <c r="L658" t="str">
        <f>TEXT(Table3[[#This Row],[Sale Date]],"dddd")</f>
        <v>Monday</v>
      </c>
    </row>
    <row r="659" spans="1:12" x14ac:dyDescent="0.3">
      <c r="A659" t="s">
        <v>682</v>
      </c>
      <c r="B659" t="s">
        <v>52</v>
      </c>
      <c r="C659" s="1">
        <v>44779</v>
      </c>
      <c r="D659" t="s">
        <v>60</v>
      </c>
      <c r="E659" t="s">
        <v>67</v>
      </c>
      <c r="F659">
        <v>65</v>
      </c>
      <c r="G659" t="s">
        <v>2</v>
      </c>
      <c r="H659" s="2">
        <v>8</v>
      </c>
      <c r="I659" s="3">
        <f t="shared" ca="1" si="2"/>
        <v>0.93015447891423853</v>
      </c>
      <c r="J659">
        <f>PRODUCT(Table3[[#This Row],[Price of One Product]],Table3[[#This Row],[No of Products in one Sale]])</f>
        <v>520</v>
      </c>
      <c r="K659" s="6">
        <f ca="1">Table3[[#This Row],[Actual Sale]]*(1-Table3[[#This Row],[Discount]])</f>
        <v>36.319670964595964</v>
      </c>
      <c r="L659" t="str">
        <f>TEXT(Table3[[#This Row],[Sale Date]],"dddd")</f>
        <v>Saturday</v>
      </c>
    </row>
    <row r="660" spans="1:12" x14ac:dyDescent="0.3">
      <c r="A660" t="s">
        <v>683</v>
      </c>
      <c r="B660" t="s">
        <v>53</v>
      </c>
      <c r="C660" s="1">
        <v>44796</v>
      </c>
      <c r="D660" t="s">
        <v>61</v>
      </c>
      <c r="E660" t="s">
        <v>66</v>
      </c>
      <c r="F660">
        <v>250</v>
      </c>
      <c r="G660" t="s">
        <v>0</v>
      </c>
      <c r="H660" s="2">
        <v>2</v>
      </c>
      <c r="I660" s="3">
        <f t="shared" ca="1" si="2"/>
        <v>1.7681333770800389E-3</v>
      </c>
      <c r="J660">
        <f>PRODUCT(Table3[[#This Row],[Price of One Product]],Table3[[#This Row],[No of Products in one Sale]])</f>
        <v>500</v>
      </c>
      <c r="K660" s="6">
        <f ca="1">Table3[[#This Row],[Actual Sale]]*(1-Table3[[#This Row],[Discount]])</f>
        <v>499.11593331145997</v>
      </c>
      <c r="L660" t="str">
        <f>TEXT(Table3[[#This Row],[Sale Date]],"dddd")</f>
        <v>Tuesday</v>
      </c>
    </row>
    <row r="661" spans="1:12" x14ac:dyDescent="0.3">
      <c r="A661" t="s">
        <v>684</v>
      </c>
      <c r="B661" t="s">
        <v>54</v>
      </c>
      <c r="C661" s="1">
        <v>44772</v>
      </c>
      <c r="D661" t="s">
        <v>62</v>
      </c>
      <c r="E661" t="s">
        <v>66</v>
      </c>
      <c r="F661">
        <v>130</v>
      </c>
      <c r="G661" t="s">
        <v>1</v>
      </c>
      <c r="H661" s="2">
        <v>2</v>
      </c>
      <c r="I661" s="3">
        <f t="shared" ca="1" si="2"/>
        <v>0.77179348814170667</v>
      </c>
      <c r="J661">
        <f>PRODUCT(Table3[[#This Row],[Price of One Product]],Table3[[#This Row],[No of Products in one Sale]])</f>
        <v>260</v>
      </c>
      <c r="K661" s="6">
        <f ca="1">Table3[[#This Row],[Actual Sale]]*(1-Table3[[#This Row],[Discount]])</f>
        <v>59.333693083156263</v>
      </c>
      <c r="L661" t="str">
        <f>TEXT(Table3[[#This Row],[Sale Date]],"dddd")</f>
        <v>Saturday</v>
      </c>
    </row>
    <row r="662" spans="1:12" x14ac:dyDescent="0.3">
      <c r="A662" t="s">
        <v>685</v>
      </c>
      <c r="B662" t="s">
        <v>51</v>
      </c>
      <c r="C662" s="1">
        <v>44809</v>
      </c>
      <c r="D662" t="s">
        <v>59</v>
      </c>
      <c r="E662" t="s">
        <v>66</v>
      </c>
      <c r="F662">
        <v>72</v>
      </c>
      <c r="G662" t="s">
        <v>2</v>
      </c>
      <c r="H662" s="2">
        <v>9</v>
      </c>
      <c r="I662" s="3">
        <f t="shared" ca="1" si="2"/>
        <v>0.81403300290962066</v>
      </c>
      <c r="J662">
        <f>PRODUCT(Table3[[#This Row],[Price of One Product]],Table3[[#This Row],[No of Products in one Sale]])</f>
        <v>648</v>
      </c>
      <c r="K662" s="6">
        <f ca="1">Table3[[#This Row],[Actual Sale]]*(1-Table3[[#This Row],[Discount]])</f>
        <v>120.50661411456581</v>
      </c>
      <c r="L662" t="str">
        <f>TEXT(Table3[[#This Row],[Sale Date]],"dddd")</f>
        <v>Monday</v>
      </c>
    </row>
    <row r="663" spans="1:12" x14ac:dyDescent="0.3">
      <c r="A663" t="s">
        <v>686</v>
      </c>
      <c r="B663" t="s">
        <v>52</v>
      </c>
      <c r="C663" s="1">
        <v>44757</v>
      </c>
      <c r="D663" t="s">
        <v>60</v>
      </c>
      <c r="E663" t="s">
        <v>66</v>
      </c>
      <c r="F663">
        <v>65</v>
      </c>
      <c r="G663" t="s">
        <v>0</v>
      </c>
      <c r="H663" s="2">
        <v>4</v>
      </c>
      <c r="I663" s="3">
        <f t="shared" ca="1" si="2"/>
        <v>0.83618808323883631</v>
      </c>
      <c r="J663">
        <f>PRODUCT(Table3[[#This Row],[Price of One Product]],Table3[[#This Row],[No of Products in one Sale]])</f>
        <v>260</v>
      </c>
      <c r="K663" s="6">
        <f ca="1">Table3[[#This Row],[Actual Sale]]*(1-Table3[[#This Row],[Discount]])</f>
        <v>42.59109835790256</v>
      </c>
      <c r="L663" t="str">
        <f>TEXT(Table3[[#This Row],[Sale Date]],"dddd")</f>
        <v>Friday</v>
      </c>
    </row>
    <row r="664" spans="1:12" x14ac:dyDescent="0.3">
      <c r="A664" t="s">
        <v>687</v>
      </c>
      <c r="B664" t="s">
        <v>53</v>
      </c>
      <c r="C664" s="1">
        <v>44782</v>
      </c>
      <c r="D664" t="s">
        <v>61</v>
      </c>
      <c r="E664" t="s">
        <v>66</v>
      </c>
      <c r="F664">
        <v>250</v>
      </c>
      <c r="G664" t="s">
        <v>1</v>
      </c>
      <c r="H664" s="2">
        <v>1</v>
      </c>
      <c r="I664" s="3">
        <f t="shared" ca="1" si="2"/>
        <v>0.60994791608709575</v>
      </c>
      <c r="J664">
        <f>PRODUCT(Table3[[#This Row],[Price of One Product]],Table3[[#This Row],[No of Products in one Sale]])</f>
        <v>250</v>
      </c>
      <c r="K664" s="6">
        <f ca="1">Table3[[#This Row],[Actual Sale]]*(1-Table3[[#This Row],[Discount]])</f>
        <v>97.513020978226066</v>
      </c>
      <c r="L664" t="str">
        <f>TEXT(Table3[[#This Row],[Sale Date]],"dddd")</f>
        <v>Tuesday</v>
      </c>
    </row>
    <row r="665" spans="1:12" x14ac:dyDescent="0.3">
      <c r="A665" t="s">
        <v>688</v>
      </c>
      <c r="B665" t="s">
        <v>54</v>
      </c>
      <c r="C665" s="1">
        <v>44809</v>
      </c>
      <c r="D665" t="s">
        <v>62</v>
      </c>
      <c r="E665" t="s">
        <v>66</v>
      </c>
      <c r="F665">
        <v>130</v>
      </c>
      <c r="G665" t="s">
        <v>2</v>
      </c>
      <c r="H665" s="2">
        <v>5</v>
      </c>
      <c r="I665" s="3">
        <f t="shared" ca="1" si="2"/>
        <v>0.67637412390810592</v>
      </c>
      <c r="J665">
        <f>PRODUCT(Table3[[#This Row],[Price of One Product]],Table3[[#This Row],[No of Products in one Sale]])</f>
        <v>650</v>
      </c>
      <c r="K665" s="6">
        <f ca="1">Table3[[#This Row],[Actual Sale]]*(1-Table3[[#This Row],[Discount]])</f>
        <v>210.35681945973116</v>
      </c>
      <c r="L665" t="str">
        <f>TEXT(Table3[[#This Row],[Sale Date]],"dddd")</f>
        <v>Monday</v>
      </c>
    </row>
    <row r="666" spans="1:12" x14ac:dyDescent="0.3">
      <c r="A666" t="s">
        <v>689</v>
      </c>
      <c r="B666" t="s">
        <v>55</v>
      </c>
      <c r="C666" s="1">
        <v>44795</v>
      </c>
      <c r="D666" t="s">
        <v>63</v>
      </c>
      <c r="E666" t="s">
        <v>66</v>
      </c>
      <c r="F666">
        <v>60</v>
      </c>
      <c r="G666" t="s">
        <v>0</v>
      </c>
      <c r="H666" s="2">
        <v>12</v>
      </c>
      <c r="I666" s="3">
        <f t="shared" ca="1" si="2"/>
        <v>0.62631506393356684</v>
      </c>
      <c r="J666">
        <f>PRODUCT(Table3[[#This Row],[Price of One Product]],Table3[[#This Row],[No of Products in one Sale]])</f>
        <v>720</v>
      </c>
      <c r="K666" s="6">
        <f ca="1">Table3[[#This Row],[Actual Sale]]*(1-Table3[[#This Row],[Discount]])</f>
        <v>269.05315396783186</v>
      </c>
      <c r="L666" t="str">
        <f>TEXT(Table3[[#This Row],[Sale Date]],"dddd")</f>
        <v>Monday</v>
      </c>
    </row>
    <row r="667" spans="1:12" x14ac:dyDescent="0.3">
      <c r="A667" t="s">
        <v>690</v>
      </c>
      <c r="B667" t="s">
        <v>51</v>
      </c>
      <c r="C667" s="1">
        <v>44801</v>
      </c>
      <c r="D667" t="s">
        <v>59</v>
      </c>
      <c r="E667" t="s">
        <v>66</v>
      </c>
      <c r="F667">
        <v>72</v>
      </c>
      <c r="G667" t="s">
        <v>1</v>
      </c>
      <c r="H667" s="2">
        <v>6</v>
      </c>
      <c r="I667" s="3">
        <f t="shared" ca="1" si="2"/>
        <v>0.14813992973935675</v>
      </c>
      <c r="J667">
        <f>PRODUCT(Table3[[#This Row],[Price of One Product]],Table3[[#This Row],[No of Products in one Sale]])</f>
        <v>432</v>
      </c>
      <c r="K667" s="6">
        <f ca="1">Table3[[#This Row],[Actual Sale]]*(1-Table3[[#This Row],[Discount]])</f>
        <v>368.00355035259787</v>
      </c>
      <c r="L667" t="str">
        <f>TEXT(Table3[[#This Row],[Sale Date]],"dddd")</f>
        <v>Sunday</v>
      </c>
    </row>
    <row r="668" spans="1:12" x14ac:dyDescent="0.3">
      <c r="A668" t="s">
        <v>691</v>
      </c>
      <c r="B668" t="s">
        <v>52</v>
      </c>
      <c r="C668" s="1">
        <v>44770</v>
      </c>
      <c r="D668" t="s">
        <v>60</v>
      </c>
      <c r="E668" t="s">
        <v>66</v>
      </c>
      <c r="F668">
        <v>65</v>
      </c>
      <c r="G668" t="s">
        <v>2</v>
      </c>
      <c r="H668" s="2">
        <v>6</v>
      </c>
      <c r="I668" s="3">
        <f t="shared" ca="1" si="2"/>
        <v>0.24322668050615937</v>
      </c>
      <c r="J668">
        <f>PRODUCT(Table3[[#This Row],[Price of One Product]],Table3[[#This Row],[No of Products in one Sale]])</f>
        <v>390</v>
      </c>
      <c r="K668" s="6">
        <f ca="1">Table3[[#This Row],[Actual Sale]]*(1-Table3[[#This Row],[Discount]])</f>
        <v>295.14159460259782</v>
      </c>
      <c r="L668" t="str">
        <f>TEXT(Table3[[#This Row],[Sale Date]],"dddd")</f>
        <v>Thursday</v>
      </c>
    </row>
    <row r="669" spans="1:12" x14ac:dyDescent="0.3">
      <c r="A669" t="s">
        <v>692</v>
      </c>
      <c r="B669" t="s">
        <v>53</v>
      </c>
      <c r="C669" s="1">
        <v>44764</v>
      </c>
      <c r="D669" t="s">
        <v>61</v>
      </c>
      <c r="E669" t="s">
        <v>67</v>
      </c>
      <c r="F669">
        <v>250</v>
      </c>
      <c r="G669" t="s">
        <v>0</v>
      </c>
      <c r="H669" s="2">
        <v>2</v>
      </c>
      <c r="I669" s="3">
        <f t="shared" ca="1" si="2"/>
        <v>0.79557998548027864</v>
      </c>
      <c r="J669">
        <f>PRODUCT(Table3[[#This Row],[Price of One Product]],Table3[[#This Row],[No of Products in one Sale]])</f>
        <v>500</v>
      </c>
      <c r="K669" s="6">
        <f ca="1">Table3[[#This Row],[Actual Sale]]*(1-Table3[[#This Row],[Discount]])</f>
        <v>102.21000725986067</v>
      </c>
      <c r="L669" t="str">
        <f>TEXT(Table3[[#This Row],[Sale Date]],"dddd")</f>
        <v>Friday</v>
      </c>
    </row>
    <row r="670" spans="1:12" x14ac:dyDescent="0.3">
      <c r="A670" t="s">
        <v>693</v>
      </c>
      <c r="B670" t="s">
        <v>54</v>
      </c>
      <c r="C670" s="1">
        <v>44776</v>
      </c>
      <c r="D670" t="s">
        <v>62</v>
      </c>
      <c r="E670" t="s">
        <v>66</v>
      </c>
      <c r="F670">
        <v>130</v>
      </c>
      <c r="G670" t="s">
        <v>1</v>
      </c>
      <c r="H670" s="2">
        <v>4</v>
      </c>
      <c r="I670" s="3">
        <f t="shared" ca="1" si="2"/>
        <v>0.85556915268437173</v>
      </c>
      <c r="J670">
        <f>PRODUCT(Table3[[#This Row],[Price of One Product]],Table3[[#This Row],[No of Products in one Sale]])</f>
        <v>520</v>
      </c>
      <c r="K670" s="6">
        <f ca="1">Table3[[#This Row],[Actual Sale]]*(1-Table3[[#This Row],[Discount]])</f>
        <v>75.104040604126709</v>
      </c>
      <c r="L670" t="str">
        <f>TEXT(Table3[[#This Row],[Sale Date]],"dddd")</f>
        <v>Wednesday</v>
      </c>
    </row>
    <row r="671" spans="1:12" x14ac:dyDescent="0.3">
      <c r="A671" t="s">
        <v>694</v>
      </c>
      <c r="B671" t="s">
        <v>51</v>
      </c>
      <c r="C671" s="1">
        <v>44771</v>
      </c>
      <c r="D671" t="s">
        <v>59</v>
      </c>
      <c r="E671" t="s">
        <v>66</v>
      </c>
      <c r="F671">
        <v>72</v>
      </c>
      <c r="G671" t="s">
        <v>2</v>
      </c>
      <c r="H671" s="2">
        <v>10</v>
      </c>
      <c r="I671" s="3">
        <f t="shared" ca="1" si="2"/>
        <v>0.96605984537119072</v>
      </c>
      <c r="J671">
        <f>PRODUCT(Table3[[#This Row],[Price of One Product]],Table3[[#This Row],[No of Products in one Sale]])</f>
        <v>720</v>
      </c>
      <c r="K671" s="6">
        <f ca="1">Table3[[#This Row],[Actual Sale]]*(1-Table3[[#This Row],[Discount]])</f>
        <v>24.436911332742682</v>
      </c>
      <c r="L671" t="str">
        <f>TEXT(Table3[[#This Row],[Sale Date]],"dddd")</f>
        <v>Friday</v>
      </c>
    </row>
    <row r="672" spans="1:12" x14ac:dyDescent="0.3">
      <c r="A672" t="s">
        <v>695</v>
      </c>
      <c r="B672" t="s">
        <v>52</v>
      </c>
      <c r="C672" s="1">
        <v>44794</v>
      </c>
      <c r="D672" t="s">
        <v>60</v>
      </c>
      <c r="E672" t="s">
        <v>66</v>
      </c>
      <c r="F672">
        <v>65</v>
      </c>
      <c r="G672" t="s">
        <v>0</v>
      </c>
      <c r="H672" s="2">
        <v>8</v>
      </c>
      <c r="I672" s="3">
        <f t="shared" ca="1" si="2"/>
        <v>0.28904167082001186</v>
      </c>
      <c r="J672">
        <f>PRODUCT(Table3[[#This Row],[Price of One Product]],Table3[[#This Row],[No of Products in one Sale]])</f>
        <v>520</v>
      </c>
      <c r="K672" s="6">
        <f ca="1">Table3[[#This Row],[Actual Sale]]*(1-Table3[[#This Row],[Discount]])</f>
        <v>369.69833117359383</v>
      </c>
      <c r="L672" t="str">
        <f>TEXT(Table3[[#This Row],[Sale Date]],"dddd")</f>
        <v>Sunday</v>
      </c>
    </row>
    <row r="673" spans="1:12" x14ac:dyDescent="0.3">
      <c r="A673" t="s">
        <v>696</v>
      </c>
      <c r="B673" t="s">
        <v>53</v>
      </c>
      <c r="C673" s="1">
        <v>44792</v>
      </c>
      <c r="D673" t="s">
        <v>61</v>
      </c>
      <c r="E673" t="s">
        <v>66</v>
      </c>
      <c r="F673">
        <v>250</v>
      </c>
      <c r="G673" t="s">
        <v>1</v>
      </c>
      <c r="H673" s="2">
        <v>2</v>
      </c>
      <c r="I673" s="3">
        <f t="shared" ca="1" si="2"/>
        <v>0.23682261532558591</v>
      </c>
      <c r="J673">
        <f>PRODUCT(Table3[[#This Row],[Price of One Product]],Table3[[#This Row],[No of Products in one Sale]])</f>
        <v>500</v>
      </c>
      <c r="K673" s="6">
        <f ca="1">Table3[[#This Row],[Actual Sale]]*(1-Table3[[#This Row],[Discount]])</f>
        <v>381.58869233720702</v>
      </c>
      <c r="L673" t="str">
        <f>TEXT(Table3[[#This Row],[Sale Date]],"dddd")</f>
        <v>Friday</v>
      </c>
    </row>
    <row r="674" spans="1:12" x14ac:dyDescent="0.3">
      <c r="A674" t="s">
        <v>697</v>
      </c>
      <c r="B674" t="s">
        <v>54</v>
      </c>
      <c r="C674" s="1">
        <v>44792</v>
      </c>
      <c r="D674" t="s">
        <v>62</v>
      </c>
      <c r="E674" t="s">
        <v>66</v>
      </c>
      <c r="F674">
        <v>130</v>
      </c>
      <c r="G674" t="s">
        <v>2</v>
      </c>
      <c r="H674" s="2">
        <v>2</v>
      </c>
      <c r="I674" s="3">
        <f t="shared" ca="1" si="2"/>
        <v>0.17604222232651634</v>
      </c>
      <c r="J674">
        <f>PRODUCT(Table3[[#This Row],[Price of One Product]],Table3[[#This Row],[No of Products in one Sale]])</f>
        <v>260</v>
      </c>
      <c r="K674" s="6">
        <f ca="1">Table3[[#This Row],[Actual Sale]]*(1-Table3[[#This Row],[Discount]])</f>
        <v>214.22902219510576</v>
      </c>
      <c r="L674" t="str">
        <f>TEXT(Table3[[#This Row],[Sale Date]],"dddd")</f>
        <v>Friday</v>
      </c>
    </row>
    <row r="675" spans="1:12" x14ac:dyDescent="0.3">
      <c r="A675" t="s">
        <v>698</v>
      </c>
      <c r="B675" t="s">
        <v>55</v>
      </c>
      <c r="C675" s="1">
        <v>44790</v>
      </c>
      <c r="D675" t="s">
        <v>63</v>
      </c>
      <c r="E675" t="s">
        <v>67</v>
      </c>
      <c r="F675">
        <v>60</v>
      </c>
      <c r="G675" t="s">
        <v>0</v>
      </c>
      <c r="H675" s="2">
        <v>14</v>
      </c>
      <c r="I675" s="3">
        <f t="shared" ca="1" si="2"/>
        <v>0.39272598979782902</v>
      </c>
      <c r="J675">
        <f>PRODUCT(Table3[[#This Row],[Price of One Product]],Table3[[#This Row],[No of Products in one Sale]])</f>
        <v>840</v>
      </c>
      <c r="K675" s="6">
        <f ca="1">Table3[[#This Row],[Actual Sale]]*(1-Table3[[#This Row],[Discount]])</f>
        <v>510.1101685698236</v>
      </c>
      <c r="L675" t="str">
        <f>TEXT(Table3[[#This Row],[Sale Date]],"dddd")</f>
        <v>Wednesday</v>
      </c>
    </row>
    <row r="676" spans="1:12" x14ac:dyDescent="0.3">
      <c r="A676" t="s">
        <v>699</v>
      </c>
      <c r="B676" t="s">
        <v>56</v>
      </c>
      <c r="C676" s="1">
        <v>44809</v>
      </c>
      <c r="D676" t="s">
        <v>64</v>
      </c>
      <c r="E676" t="s">
        <v>66</v>
      </c>
      <c r="F676">
        <v>95</v>
      </c>
      <c r="G676" t="s">
        <v>1</v>
      </c>
      <c r="H676" s="2">
        <v>3</v>
      </c>
      <c r="I676" s="3">
        <f t="shared" ca="1" si="2"/>
        <v>0.49637934918213134</v>
      </c>
      <c r="J676">
        <f>PRODUCT(Table3[[#This Row],[Price of One Product]],Table3[[#This Row],[No of Products in one Sale]])</f>
        <v>285</v>
      </c>
      <c r="K676" s="6">
        <f ca="1">Table3[[#This Row],[Actual Sale]]*(1-Table3[[#This Row],[Discount]])</f>
        <v>143.53188548309257</v>
      </c>
      <c r="L676" t="str">
        <f>TEXT(Table3[[#This Row],[Sale Date]],"dddd")</f>
        <v>Monday</v>
      </c>
    </row>
    <row r="677" spans="1:12" x14ac:dyDescent="0.3">
      <c r="A677" t="s">
        <v>700</v>
      </c>
      <c r="B677" t="s">
        <v>51</v>
      </c>
      <c r="C677" s="1">
        <v>44772</v>
      </c>
      <c r="D677" t="s">
        <v>59</v>
      </c>
      <c r="E677" t="s">
        <v>66</v>
      </c>
      <c r="F677">
        <v>72</v>
      </c>
      <c r="G677" t="s">
        <v>2</v>
      </c>
      <c r="H677" s="2">
        <v>6</v>
      </c>
      <c r="I677" s="3">
        <f t="shared" ca="1" si="2"/>
        <v>0.82918433478239573</v>
      </c>
      <c r="J677">
        <f>PRODUCT(Table3[[#This Row],[Price of One Product]],Table3[[#This Row],[No of Products in one Sale]])</f>
        <v>432</v>
      </c>
      <c r="K677" s="6">
        <f ca="1">Table3[[#This Row],[Actual Sale]]*(1-Table3[[#This Row],[Discount]])</f>
        <v>73.792367374005039</v>
      </c>
      <c r="L677" t="str">
        <f>TEXT(Table3[[#This Row],[Sale Date]],"dddd")</f>
        <v>Saturday</v>
      </c>
    </row>
    <row r="678" spans="1:12" x14ac:dyDescent="0.3">
      <c r="A678" t="s">
        <v>701</v>
      </c>
      <c r="B678" t="s">
        <v>52</v>
      </c>
      <c r="C678" s="1">
        <v>44802</v>
      </c>
      <c r="D678" t="s">
        <v>60</v>
      </c>
      <c r="E678" t="s">
        <v>66</v>
      </c>
      <c r="F678">
        <v>65</v>
      </c>
      <c r="G678" t="s">
        <v>0</v>
      </c>
      <c r="H678" s="2">
        <v>12</v>
      </c>
      <c r="I678" s="3">
        <f t="shared" ca="1" si="2"/>
        <v>1.0003391639488157E-3</v>
      </c>
      <c r="J678">
        <f>PRODUCT(Table3[[#This Row],[Price of One Product]],Table3[[#This Row],[No of Products in one Sale]])</f>
        <v>780</v>
      </c>
      <c r="K678" s="6">
        <f ca="1">Table3[[#This Row],[Actual Sale]]*(1-Table3[[#This Row],[Discount]])</f>
        <v>779.21973545211995</v>
      </c>
      <c r="L678" t="str">
        <f>TEXT(Table3[[#This Row],[Sale Date]],"dddd")</f>
        <v>Monday</v>
      </c>
    </row>
    <row r="679" spans="1:12" x14ac:dyDescent="0.3">
      <c r="A679" t="s">
        <v>702</v>
      </c>
      <c r="B679" t="s">
        <v>53</v>
      </c>
      <c r="C679" s="1">
        <v>44809</v>
      </c>
      <c r="D679" t="s">
        <v>61</v>
      </c>
      <c r="E679" t="s">
        <v>67</v>
      </c>
      <c r="F679">
        <v>250</v>
      </c>
      <c r="G679" t="s">
        <v>1</v>
      </c>
      <c r="H679" s="2">
        <v>2</v>
      </c>
      <c r="I679" s="3">
        <f t="shared" ca="1" si="2"/>
        <v>0.9448714603959707</v>
      </c>
      <c r="J679">
        <f>PRODUCT(Table3[[#This Row],[Price of One Product]],Table3[[#This Row],[No of Products in one Sale]])</f>
        <v>500</v>
      </c>
      <c r="K679" s="6">
        <f ca="1">Table3[[#This Row],[Actual Sale]]*(1-Table3[[#This Row],[Discount]])</f>
        <v>27.56426980201465</v>
      </c>
      <c r="L679" t="str">
        <f>TEXT(Table3[[#This Row],[Sale Date]],"dddd")</f>
        <v>Monday</v>
      </c>
    </row>
    <row r="680" spans="1:12" x14ac:dyDescent="0.3">
      <c r="A680" t="s">
        <v>703</v>
      </c>
      <c r="B680" t="s">
        <v>54</v>
      </c>
      <c r="C680" s="1">
        <v>44793</v>
      </c>
      <c r="D680" t="s">
        <v>62</v>
      </c>
      <c r="E680" t="s">
        <v>67</v>
      </c>
      <c r="F680">
        <v>130</v>
      </c>
      <c r="G680" t="s">
        <v>2</v>
      </c>
      <c r="H680" s="2">
        <v>2</v>
      </c>
      <c r="I680" s="3">
        <f t="shared" ca="1" si="2"/>
        <v>0.91998062432787464</v>
      </c>
      <c r="J680">
        <f>PRODUCT(Table3[[#This Row],[Price of One Product]],Table3[[#This Row],[No of Products in one Sale]])</f>
        <v>260</v>
      </c>
      <c r="K680" s="6">
        <f ca="1">Table3[[#This Row],[Actual Sale]]*(1-Table3[[#This Row],[Discount]])</f>
        <v>20.805037674752594</v>
      </c>
      <c r="L680" t="str">
        <f>TEXT(Table3[[#This Row],[Sale Date]],"dddd")</f>
        <v>Saturday</v>
      </c>
    </row>
    <row r="681" spans="1:12" x14ac:dyDescent="0.3">
      <c r="A681" t="s">
        <v>704</v>
      </c>
      <c r="B681" t="s">
        <v>51</v>
      </c>
      <c r="C681" s="1">
        <v>44802</v>
      </c>
      <c r="D681" t="s">
        <v>59</v>
      </c>
      <c r="E681" t="s">
        <v>67</v>
      </c>
      <c r="F681">
        <v>72</v>
      </c>
      <c r="G681" t="s">
        <v>0</v>
      </c>
      <c r="H681" s="2">
        <v>8</v>
      </c>
      <c r="I681" s="3">
        <f t="shared" ca="1" si="2"/>
        <v>0.57621107683056871</v>
      </c>
      <c r="J681">
        <f>PRODUCT(Table3[[#This Row],[Price of One Product]],Table3[[#This Row],[No of Products in one Sale]])</f>
        <v>576</v>
      </c>
      <c r="K681" s="6">
        <f ca="1">Table3[[#This Row],[Actual Sale]]*(1-Table3[[#This Row],[Discount]])</f>
        <v>244.10241974559241</v>
      </c>
      <c r="L681" t="str">
        <f>TEXT(Table3[[#This Row],[Sale Date]],"dddd")</f>
        <v>Monday</v>
      </c>
    </row>
    <row r="682" spans="1:12" x14ac:dyDescent="0.3">
      <c r="A682" t="s">
        <v>705</v>
      </c>
      <c r="B682" t="s">
        <v>52</v>
      </c>
      <c r="C682" s="1">
        <v>44766</v>
      </c>
      <c r="D682" t="s">
        <v>60</v>
      </c>
      <c r="E682" t="s">
        <v>67</v>
      </c>
      <c r="F682">
        <v>65</v>
      </c>
      <c r="G682" t="s">
        <v>1</v>
      </c>
      <c r="H682" s="2">
        <v>10</v>
      </c>
      <c r="I682" s="3">
        <f t="shared" ca="1" si="2"/>
        <v>2.8714892020731186E-2</v>
      </c>
      <c r="J682">
        <f>PRODUCT(Table3[[#This Row],[Price of One Product]],Table3[[#This Row],[No of Products in one Sale]])</f>
        <v>650</v>
      </c>
      <c r="K682" s="6">
        <f ca="1">Table3[[#This Row],[Actual Sale]]*(1-Table3[[#This Row],[Discount]])</f>
        <v>631.33532018652477</v>
      </c>
      <c r="L682" t="str">
        <f>TEXT(Table3[[#This Row],[Sale Date]],"dddd")</f>
        <v>Sunday</v>
      </c>
    </row>
    <row r="683" spans="1:12" x14ac:dyDescent="0.3">
      <c r="A683" t="s">
        <v>706</v>
      </c>
      <c r="B683" t="s">
        <v>53</v>
      </c>
      <c r="C683" s="1">
        <v>44807</v>
      </c>
      <c r="D683" t="s">
        <v>61</v>
      </c>
      <c r="E683" t="s">
        <v>67</v>
      </c>
      <c r="F683">
        <v>250</v>
      </c>
      <c r="G683" t="s">
        <v>2</v>
      </c>
      <c r="H683" s="2">
        <v>3</v>
      </c>
      <c r="I683" s="3">
        <f t="shared" ca="1" si="2"/>
        <v>0.42302436455533632</v>
      </c>
      <c r="J683">
        <f>PRODUCT(Table3[[#This Row],[Price of One Product]],Table3[[#This Row],[No of Products in one Sale]])</f>
        <v>750</v>
      </c>
      <c r="K683" s="6">
        <f ca="1">Table3[[#This Row],[Actual Sale]]*(1-Table3[[#This Row],[Discount]])</f>
        <v>432.73172658349779</v>
      </c>
      <c r="L683" t="str">
        <f>TEXT(Table3[[#This Row],[Sale Date]],"dddd")</f>
        <v>Saturday</v>
      </c>
    </row>
    <row r="684" spans="1:12" x14ac:dyDescent="0.3">
      <c r="A684" t="s">
        <v>707</v>
      </c>
      <c r="B684" t="s">
        <v>54</v>
      </c>
      <c r="C684" s="1">
        <v>44784</v>
      </c>
      <c r="D684" t="s">
        <v>62</v>
      </c>
      <c r="E684" t="s">
        <v>67</v>
      </c>
      <c r="F684">
        <v>130</v>
      </c>
      <c r="G684" t="s">
        <v>0</v>
      </c>
      <c r="H684" s="2">
        <v>7</v>
      </c>
      <c r="I684" s="3">
        <f t="shared" ca="1" si="2"/>
        <v>0.97355560453988021</v>
      </c>
      <c r="J684">
        <f>PRODUCT(Table3[[#This Row],[Price of One Product]],Table3[[#This Row],[No of Products in one Sale]])</f>
        <v>910</v>
      </c>
      <c r="K684" s="6">
        <f ca="1">Table3[[#This Row],[Actual Sale]]*(1-Table3[[#This Row],[Discount]])</f>
        <v>24.064399868709003</v>
      </c>
      <c r="L684" t="str">
        <f>TEXT(Table3[[#This Row],[Sale Date]],"dddd")</f>
        <v>Thursday</v>
      </c>
    </row>
    <row r="685" spans="1:12" x14ac:dyDescent="0.3">
      <c r="A685" t="s">
        <v>708</v>
      </c>
      <c r="B685" t="s">
        <v>51</v>
      </c>
      <c r="C685" s="1">
        <v>44763</v>
      </c>
      <c r="D685" t="s">
        <v>59</v>
      </c>
      <c r="E685" t="s">
        <v>66</v>
      </c>
      <c r="F685">
        <v>72</v>
      </c>
      <c r="G685" t="s">
        <v>0</v>
      </c>
      <c r="H685" s="2">
        <v>10</v>
      </c>
      <c r="I685" s="3">
        <f t="shared" ca="1" si="2"/>
        <v>0.86695919357769846</v>
      </c>
      <c r="J685">
        <f>PRODUCT(Table3[[#This Row],[Price of One Product]],Table3[[#This Row],[No of Products in one Sale]])</f>
        <v>720</v>
      </c>
      <c r="K685" s="6">
        <f ca="1">Table3[[#This Row],[Actual Sale]]*(1-Table3[[#This Row],[Discount]])</f>
        <v>95.789380624057102</v>
      </c>
      <c r="L685" t="str">
        <f>TEXT(Table3[[#This Row],[Sale Date]],"dddd")</f>
        <v>Thursday</v>
      </c>
    </row>
    <row r="686" spans="1:12" x14ac:dyDescent="0.3">
      <c r="A686" t="s">
        <v>709</v>
      </c>
      <c r="B686" t="s">
        <v>52</v>
      </c>
      <c r="C686" s="1">
        <v>44799</v>
      </c>
      <c r="D686" t="s">
        <v>60</v>
      </c>
      <c r="E686" t="s">
        <v>67</v>
      </c>
      <c r="F686">
        <v>65</v>
      </c>
      <c r="G686" t="s">
        <v>1</v>
      </c>
      <c r="H686" s="2">
        <v>13</v>
      </c>
      <c r="I686" s="3">
        <f t="shared" ca="1" si="2"/>
        <v>0.38161902974272144</v>
      </c>
      <c r="J686">
        <f>PRODUCT(Table3[[#This Row],[Price of One Product]],Table3[[#This Row],[No of Products in one Sale]])</f>
        <v>845</v>
      </c>
      <c r="K686" s="6">
        <f ca="1">Table3[[#This Row],[Actual Sale]]*(1-Table3[[#This Row],[Discount]])</f>
        <v>522.53191986740035</v>
      </c>
      <c r="L686" t="str">
        <f>TEXT(Table3[[#This Row],[Sale Date]],"dddd")</f>
        <v>Friday</v>
      </c>
    </row>
    <row r="687" spans="1:12" x14ac:dyDescent="0.3">
      <c r="A687" t="s">
        <v>710</v>
      </c>
      <c r="B687" t="s">
        <v>53</v>
      </c>
      <c r="C687" s="1">
        <v>44808</v>
      </c>
      <c r="D687" t="s">
        <v>61</v>
      </c>
      <c r="E687" t="s">
        <v>66</v>
      </c>
      <c r="F687">
        <v>250</v>
      </c>
      <c r="G687" t="s">
        <v>2</v>
      </c>
      <c r="H687" s="2">
        <v>1</v>
      </c>
      <c r="I687" s="3">
        <f t="shared" ca="1" si="2"/>
        <v>0.45503002458791775</v>
      </c>
      <c r="J687">
        <f>PRODUCT(Table3[[#This Row],[Price of One Product]],Table3[[#This Row],[No of Products in one Sale]])</f>
        <v>250</v>
      </c>
      <c r="K687" s="6">
        <f ca="1">Table3[[#This Row],[Actual Sale]]*(1-Table3[[#This Row],[Discount]])</f>
        <v>136.24249385302056</v>
      </c>
      <c r="L687" t="str">
        <f>TEXT(Table3[[#This Row],[Sale Date]],"dddd")</f>
        <v>Sunday</v>
      </c>
    </row>
    <row r="688" spans="1:12" x14ac:dyDescent="0.3">
      <c r="A688" t="s">
        <v>711</v>
      </c>
      <c r="B688" t="s">
        <v>54</v>
      </c>
      <c r="C688" s="1">
        <v>44786</v>
      </c>
      <c r="D688" t="s">
        <v>62</v>
      </c>
      <c r="E688" t="s">
        <v>67</v>
      </c>
      <c r="F688">
        <v>130</v>
      </c>
      <c r="G688" t="s">
        <v>0</v>
      </c>
      <c r="H688" s="2">
        <v>2</v>
      </c>
      <c r="I688" s="3">
        <f t="shared" ca="1" si="2"/>
        <v>0.60623698746495114</v>
      </c>
      <c r="J688">
        <f>PRODUCT(Table3[[#This Row],[Price of One Product]],Table3[[#This Row],[No of Products in one Sale]])</f>
        <v>260</v>
      </c>
      <c r="K688" s="6">
        <f ca="1">Table3[[#This Row],[Actual Sale]]*(1-Table3[[#This Row],[Discount]])</f>
        <v>102.37838325911271</v>
      </c>
      <c r="L688" t="str">
        <f>TEXT(Table3[[#This Row],[Sale Date]],"dddd")</f>
        <v>Saturday</v>
      </c>
    </row>
    <row r="689" spans="1:12" x14ac:dyDescent="0.3">
      <c r="A689" t="s">
        <v>712</v>
      </c>
      <c r="B689" t="s">
        <v>51</v>
      </c>
      <c r="C689" s="1">
        <v>44770</v>
      </c>
      <c r="D689" t="s">
        <v>59</v>
      </c>
      <c r="E689" t="s">
        <v>66</v>
      </c>
      <c r="F689">
        <v>72</v>
      </c>
      <c r="G689" t="s">
        <v>1</v>
      </c>
      <c r="H689" s="2">
        <v>10</v>
      </c>
      <c r="I689" s="3">
        <f t="shared" ca="1" si="2"/>
        <v>0.38274740405675267</v>
      </c>
      <c r="J689">
        <f>PRODUCT(Table3[[#This Row],[Price of One Product]],Table3[[#This Row],[No of Products in one Sale]])</f>
        <v>720</v>
      </c>
      <c r="K689" s="6">
        <f ca="1">Table3[[#This Row],[Actual Sale]]*(1-Table3[[#This Row],[Discount]])</f>
        <v>444.42186907913811</v>
      </c>
      <c r="L689" t="str">
        <f>TEXT(Table3[[#This Row],[Sale Date]],"dddd")</f>
        <v>Thursday</v>
      </c>
    </row>
    <row r="690" spans="1:12" x14ac:dyDescent="0.3">
      <c r="A690" t="s">
        <v>713</v>
      </c>
      <c r="B690" t="s">
        <v>52</v>
      </c>
      <c r="C690" s="1">
        <v>44777</v>
      </c>
      <c r="D690" t="s">
        <v>60</v>
      </c>
      <c r="E690" t="s">
        <v>67</v>
      </c>
      <c r="F690">
        <v>65</v>
      </c>
      <c r="G690" t="s">
        <v>2</v>
      </c>
      <c r="H690" s="2">
        <v>4</v>
      </c>
      <c r="I690" s="3">
        <f t="shared" ca="1" si="2"/>
        <v>0.97738096610111769</v>
      </c>
      <c r="J690">
        <f>PRODUCT(Table3[[#This Row],[Price of One Product]],Table3[[#This Row],[No of Products in one Sale]])</f>
        <v>260</v>
      </c>
      <c r="K690" s="6">
        <f ca="1">Table3[[#This Row],[Actual Sale]]*(1-Table3[[#This Row],[Discount]])</f>
        <v>5.8809488137094013</v>
      </c>
      <c r="L690" t="str">
        <f>TEXT(Table3[[#This Row],[Sale Date]],"dddd")</f>
        <v>Thursday</v>
      </c>
    </row>
    <row r="691" spans="1:12" x14ac:dyDescent="0.3">
      <c r="A691" t="s">
        <v>714</v>
      </c>
      <c r="B691" t="s">
        <v>53</v>
      </c>
      <c r="C691" s="1">
        <v>44780</v>
      </c>
      <c r="D691" t="s">
        <v>61</v>
      </c>
      <c r="E691" t="s">
        <v>66</v>
      </c>
      <c r="F691">
        <v>250</v>
      </c>
      <c r="G691" t="s">
        <v>0</v>
      </c>
      <c r="H691" s="2">
        <v>3</v>
      </c>
      <c r="I691" s="3">
        <f t="shared" ca="1" si="2"/>
        <v>0.49585943225644591</v>
      </c>
      <c r="J691">
        <f>PRODUCT(Table3[[#This Row],[Price of One Product]],Table3[[#This Row],[No of Products in one Sale]])</f>
        <v>750</v>
      </c>
      <c r="K691" s="6">
        <f ca="1">Table3[[#This Row],[Actual Sale]]*(1-Table3[[#This Row],[Discount]])</f>
        <v>378.10542580766554</v>
      </c>
      <c r="L691" t="str">
        <f>TEXT(Table3[[#This Row],[Sale Date]],"dddd")</f>
        <v>Sunday</v>
      </c>
    </row>
    <row r="692" spans="1:12" x14ac:dyDescent="0.3">
      <c r="A692" t="s">
        <v>715</v>
      </c>
      <c r="B692" t="s">
        <v>54</v>
      </c>
      <c r="C692" s="1">
        <v>44778</v>
      </c>
      <c r="D692" t="s">
        <v>62</v>
      </c>
      <c r="E692" t="s">
        <v>67</v>
      </c>
      <c r="F692">
        <v>130</v>
      </c>
      <c r="G692" t="s">
        <v>1</v>
      </c>
      <c r="H692" s="2">
        <v>4</v>
      </c>
      <c r="I692" s="3">
        <f t="shared" ca="1" si="2"/>
        <v>0.64264475150027178</v>
      </c>
      <c r="J692">
        <f>PRODUCT(Table3[[#This Row],[Price of One Product]],Table3[[#This Row],[No of Products in one Sale]])</f>
        <v>520</v>
      </c>
      <c r="K692" s="6">
        <f ca="1">Table3[[#This Row],[Actual Sale]]*(1-Table3[[#This Row],[Discount]])</f>
        <v>185.82472921985868</v>
      </c>
      <c r="L692" t="str">
        <f>TEXT(Table3[[#This Row],[Sale Date]],"dddd")</f>
        <v>Friday</v>
      </c>
    </row>
    <row r="693" spans="1:12" x14ac:dyDescent="0.3">
      <c r="A693" t="s">
        <v>716</v>
      </c>
      <c r="B693" t="s">
        <v>55</v>
      </c>
      <c r="C693" s="1">
        <v>44774</v>
      </c>
      <c r="D693" t="s">
        <v>63</v>
      </c>
      <c r="E693" t="s">
        <v>66</v>
      </c>
      <c r="F693">
        <v>60</v>
      </c>
      <c r="G693" t="s">
        <v>2</v>
      </c>
      <c r="H693" s="2">
        <v>13</v>
      </c>
      <c r="I693" s="3">
        <f t="shared" ca="1" si="2"/>
        <v>0.47461073143524468</v>
      </c>
      <c r="J693">
        <f>PRODUCT(Table3[[#This Row],[Price of One Product]],Table3[[#This Row],[No of Products in one Sale]])</f>
        <v>780</v>
      </c>
      <c r="K693" s="6">
        <f ca="1">Table3[[#This Row],[Actual Sale]]*(1-Table3[[#This Row],[Discount]])</f>
        <v>409.80362948050913</v>
      </c>
      <c r="L693" t="str">
        <f>TEXT(Table3[[#This Row],[Sale Date]],"dddd")</f>
        <v>Monday</v>
      </c>
    </row>
    <row r="694" spans="1:12" x14ac:dyDescent="0.3">
      <c r="A694" t="s">
        <v>717</v>
      </c>
      <c r="B694" t="s">
        <v>51</v>
      </c>
      <c r="C694" s="1">
        <v>44760</v>
      </c>
      <c r="D694" t="s">
        <v>59</v>
      </c>
      <c r="E694" t="s">
        <v>67</v>
      </c>
      <c r="F694">
        <v>72</v>
      </c>
      <c r="G694" t="s">
        <v>0</v>
      </c>
      <c r="H694" s="2">
        <v>3</v>
      </c>
      <c r="I694" s="3">
        <f t="shared" ref="I694:I757" ca="1" si="3">RAND()</f>
        <v>0.55766366292878289</v>
      </c>
      <c r="J694">
        <f>PRODUCT(Table3[[#This Row],[Price of One Product]],Table3[[#This Row],[No of Products in one Sale]])</f>
        <v>216</v>
      </c>
      <c r="K694" s="6">
        <f ca="1">Table3[[#This Row],[Actual Sale]]*(1-Table3[[#This Row],[Discount]])</f>
        <v>95.544648807382899</v>
      </c>
      <c r="L694" t="str">
        <f>TEXT(Table3[[#This Row],[Sale Date]],"dddd")</f>
        <v>Monday</v>
      </c>
    </row>
    <row r="695" spans="1:12" x14ac:dyDescent="0.3">
      <c r="A695" t="s">
        <v>718</v>
      </c>
      <c r="B695" t="s">
        <v>52</v>
      </c>
      <c r="C695" s="1">
        <v>44756</v>
      </c>
      <c r="D695" t="s">
        <v>60</v>
      </c>
      <c r="E695" t="s">
        <v>66</v>
      </c>
      <c r="F695">
        <v>65</v>
      </c>
      <c r="G695" t="s">
        <v>1</v>
      </c>
      <c r="H695" s="2">
        <v>9</v>
      </c>
      <c r="I695" s="3">
        <f t="shared" ca="1" si="3"/>
        <v>7.9700857099692879E-2</v>
      </c>
      <c r="J695">
        <f>PRODUCT(Table3[[#This Row],[Price of One Product]],Table3[[#This Row],[No of Products in one Sale]])</f>
        <v>585</v>
      </c>
      <c r="K695" s="6">
        <f ca="1">Table3[[#This Row],[Actual Sale]]*(1-Table3[[#This Row],[Discount]])</f>
        <v>538.37499859667969</v>
      </c>
      <c r="L695" t="str">
        <f>TEXT(Table3[[#This Row],[Sale Date]],"dddd")</f>
        <v>Thursday</v>
      </c>
    </row>
    <row r="696" spans="1:12" x14ac:dyDescent="0.3">
      <c r="A696" t="s">
        <v>719</v>
      </c>
      <c r="B696" t="s">
        <v>53</v>
      </c>
      <c r="C696" s="1">
        <v>44755</v>
      </c>
      <c r="D696" t="s">
        <v>61</v>
      </c>
      <c r="E696" t="s">
        <v>67</v>
      </c>
      <c r="F696">
        <v>250</v>
      </c>
      <c r="G696" t="s">
        <v>2</v>
      </c>
      <c r="H696" s="2">
        <v>3</v>
      </c>
      <c r="I696" s="3">
        <f t="shared" ca="1" si="3"/>
        <v>0.2594892957399576</v>
      </c>
      <c r="J696">
        <f>PRODUCT(Table3[[#This Row],[Price of One Product]],Table3[[#This Row],[No of Products in one Sale]])</f>
        <v>750</v>
      </c>
      <c r="K696" s="6">
        <f ca="1">Table3[[#This Row],[Actual Sale]]*(1-Table3[[#This Row],[Discount]])</f>
        <v>555.38302819503178</v>
      </c>
      <c r="L696" t="str">
        <f>TEXT(Table3[[#This Row],[Sale Date]],"dddd")</f>
        <v>Wednesday</v>
      </c>
    </row>
    <row r="697" spans="1:12" x14ac:dyDescent="0.3">
      <c r="A697" t="s">
        <v>720</v>
      </c>
      <c r="B697" t="s">
        <v>54</v>
      </c>
      <c r="C697" s="1">
        <v>44770</v>
      </c>
      <c r="D697" t="s">
        <v>62</v>
      </c>
      <c r="E697" t="s">
        <v>66</v>
      </c>
      <c r="F697">
        <v>130</v>
      </c>
      <c r="G697" t="s">
        <v>0</v>
      </c>
      <c r="H697" s="2">
        <v>5</v>
      </c>
      <c r="I697" s="3">
        <f t="shared" ca="1" si="3"/>
        <v>0.88413359365855604</v>
      </c>
      <c r="J697">
        <f>PRODUCT(Table3[[#This Row],[Price of One Product]],Table3[[#This Row],[No of Products in one Sale]])</f>
        <v>650</v>
      </c>
      <c r="K697" s="6">
        <f ca="1">Table3[[#This Row],[Actual Sale]]*(1-Table3[[#This Row],[Discount]])</f>
        <v>75.31316412193857</v>
      </c>
      <c r="L697" t="str">
        <f>TEXT(Table3[[#This Row],[Sale Date]],"dddd")</f>
        <v>Thursday</v>
      </c>
    </row>
    <row r="698" spans="1:12" x14ac:dyDescent="0.3">
      <c r="A698" t="s">
        <v>721</v>
      </c>
      <c r="B698" t="s">
        <v>51</v>
      </c>
      <c r="C698" s="1">
        <v>44755</v>
      </c>
      <c r="D698" t="s">
        <v>59</v>
      </c>
      <c r="E698" t="s">
        <v>67</v>
      </c>
      <c r="F698">
        <v>72</v>
      </c>
      <c r="G698" t="s">
        <v>1</v>
      </c>
      <c r="H698" s="2">
        <v>9</v>
      </c>
      <c r="I698" s="3">
        <f t="shared" ca="1" si="3"/>
        <v>0.94621335634059078</v>
      </c>
      <c r="J698">
        <f>PRODUCT(Table3[[#This Row],[Price of One Product]],Table3[[#This Row],[No of Products in one Sale]])</f>
        <v>648</v>
      </c>
      <c r="K698" s="6">
        <f ca="1">Table3[[#This Row],[Actual Sale]]*(1-Table3[[#This Row],[Discount]])</f>
        <v>34.853745091297171</v>
      </c>
      <c r="L698" t="str">
        <f>TEXT(Table3[[#This Row],[Sale Date]],"dddd")</f>
        <v>Wednesday</v>
      </c>
    </row>
    <row r="699" spans="1:12" x14ac:dyDescent="0.3">
      <c r="A699" t="s">
        <v>722</v>
      </c>
      <c r="B699" t="s">
        <v>52</v>
      </c>
      <c r="C699" s="1">
        <v>44775</v>
      </c>
      <c r="D699" t="s">
        <v>60</v>
      </c>
      <c r="E699" t="s">
        <v>66</v>
      </c>
      <c r="F699">
        <v>65</v>
      </c>
      <c r="G699" t="s">
        <v>2</v>
      </c>
      <c r="H699" s="2">
        <v>7</v>
      </c>
      <c r="I699" s="3">
        <f t="shared" ca="1" si="3"/>
        <v>0.87815761607196785</v>
      </c>
      <c r="J699">
        <f>PRODUCT(Table3[[#This Row],[Price of One Product]],Table3[[#This Row],[No of Products in one Sale]])</f>
        <v>455</v>
      </c>
      <c r="K699" s="6">
        <f ca="1">Table3[[#This Row],[Actual Sale]]*(1-Table3[[#This Row],[Discount]])</f>
        <v>55.43828468725463</v>
      </c>
      <c r="L699" t="str">
        <f>TEXT(Table3[[#This Row],[Sale Date]],"dddd")</f>
        <v>Tuesday</v>
      </c>
    </row>
    <row r="700" spans="1:12" x14ac:dyDescent="0.3">
      <c r="A700" t="s">
        <v>723</v>
      </c>
      <c r="B700" t="s">
        <v>53</v>
      </c>
      <c r="C700" s="1">
        <v>44797</v>
      </c>
      <c r="D700" t="s">
        <v>61</v>
      </c>
      <c r="E700" t="s">
        <v>67</v>
      </c>
      <c r="F700">
        <v>250</v>
      </c>
      <c r="G700" t="s">
        <v>0</v>
      </c>
      <c r="H700" s="2">
        <v>2</v>
      </c>
      <c r="I700" s="3">
        <f t="shared" ca="1" si="3"/>
        <v>0.29112973246016893</v>
      </c>
      <c r="J700">
        <f>PRODUCT(Table3[[#This Row],[Price of One Product]],Table3[[#This Row],[No of Products in one Sale]])</f>
        <v>500</v>
      </c>
      <c r="K700" s="6">
        <f ca="1">Table3[[#This Row],[Actual Sale]]*(1-Table3[[#This Row],[Discount]])</f>
        <v>354.43513376991552</v>
      </c>
      <c r="L700" t="str">
        <f>TEXT(Table3[[#This Row],[Sale Date]],"dddd")</f>
        <v>Wednesday</v>
      </c>
    </row>
    <row r="701" spans="1:12" x14ac:dyDescent="0.3">
      <c r="A701" t="s">
        <v>724</v>
      </c>
      <c r="B701" t="s">
        <v>54</v>
      </c>
      <c r="C701" s="1">
        <v>44802</v>
      </c>
      <c r="D701" t="s">
        <v>62</v>
      </c>
      <c r="E701" t="s">
        <v>66</v>
      </c>
      <c r="F701">
        <v>130</v>
      </c>
      <c r="G701" t="s">
        <v>1</v>
      </c>
      <c r="H701" s="2">
        <v>7</v>
      </c>
      <c r="I701" s="3">
        <f t="shared" ca="1" si="3"/>
        <v>0.28076582579491072</v>
      </c>
      <c r="J701">
        <f>PRODUCT(Table3[[#This Row],[Price of One Product]],Table3[[#This Row],[No of Products in one Sale]])</f>
        <v>910</v>
      </c>
      <c r="K701" s="6">
        <f ca="1">Table3[[#This Row],[Actual Sale]]*(1-Table3[[#This Row],[Discount]])</f>
        <v>654.50309852663122</v>
      </c>
      <c r="L701" t="str">
        <f>TEXT(Table3[[#This Row],[Sale Date]],"dddd")</f>
        <v>Monday</v>
      </c>
    </row>
    <row r="702" spans="1:12" x14ac:dyDescent="0.3">
      <c r="A702" t="s">
        <v>725</v>
      </c>
      <c r="B702" t="s">
        <v>55</v>
      </c>
      <c r="C702" s="1">
        <v>44764</v>
      </c>
      <c r="D702" t="s">
        <v>63</v>
      </c>
      <c r="E702" t="s">
        <v>66</v>
      </c>
      <c r="F702">
        <v>60</v>
      </c>
      <c r="G702" t="s">
        <v>2</v>
      </c>
      <c r="H702" s="2">
        <v>8</v>
      </c>
      <c r="I702" s="3">
        <f t="shared" ca="1" si="3"/>
        <v>0.12338065507451423</v>
      </c>
      <c r="J702">
        <f>PRODUCT(Table3[[#This Row],[Price of One Product]],Table3[[#This Row],[No of Products in one Sale]])</f>
        <v>480</v>
      </c>
      <c r="K702" s="6">
        <f ca="1">Table3[[#This Row],[Actual Sale]]*(1-Table3[[#This Row],[Discount]])</f>
        <v>420.77728556423318</v>
      </c>
      <c r="L702" t="str">
        <f>TEXT(Table3[[#This Row],[Sale Date]],"dddd")</f>
        <v>Friday</v>
      </c>
    </row>
    <row r="703" spans="1:12" x14ac:dyDescent="0.3">
      <c r="A703" t="s">
        <v>726</v>
      </c>
      <c r="B703" t="s">
        <v>56</v>
      </c>
      <c r="C703" s="1">
        <v>44780</v>
      </c>
      <c r="D703" t="s">
        <v>64</v>
      </c>
      <c r="E703" t="s">
        <v>67</v>
      </c>
      <c r="F703">
        <v>95</v>
      </c>
      <c r="G703" t="s">
        <v>0</v>
      </c>
      <c r="H703" s="2">
        <v>2</v>
      </c>
      <c r="I703" s="3">
        <f t="shared" ca="1" si="3"/>
        <v>0.31182207170445797</v>
      </c>
      <c r="J703">
        <f>PRODUCT(Table3[[#This Row],[Price of One Product]],Table3[[#This Row],[No of Products in one Sale]])</f>
        <v>190</v>
      </c>
      <c r="K703" s="6">
        <f ca="1">Table3[[#This Row],[Actual Sale]]*(1-Table3[[#This Row],[Discount]])</f>
        <v>130.75380637615299</v>
      </c>
      <c r="L703" t="str">
        <f>TEXT(Table3[[#This Row],[Sale Date]],"dddd")</f>
        <v>Sunday</v>
      </c>
    </row>
    <row r="704" spans="1:12" x14ac:dyDescent="0.3">
      <c r="A704" t="s">
        <v>727</v>
      </c>
      <c r="B704" t="s">
        <v>51</v>
      </c>
      <c r="C704" s="1">
        <v>44799</v>
      </c>
      <c r="D704" t="s">
        <v>59</v>
      </c>
      <c r="E704" t="s">
        <v>67</v>
      </c>
      <c r="F704">
        <v>72</v>
      </c>
      <c r="G704" t="s">
        <v>1</v>
      </c>
      <c r="H704" s="2">
        <v>5</v>
      </c>
      <c r="I704" s="3">
        <f t="shared" ca="1" si="3"/>
        <v>0.18905911592924063</v>
      </c>
      <c r="J704">
        <f>PRODUCT(Table3[[#This Row],[Price of One Product]],Table3[[#This Row],[No of Products in one Sale]])</f>
        <v>360</v>
      </c>
      <c r="K704" s="6">
        <f ca="1">Table3[[#This Row],[Actual Sale]]*(1-Table3[[#This Row],[Discount]])</f>
        <v>291.93871826547337</v>
      </c>
      <c r="L704" t="str">
        <f>TEXT(Table3[[#This Row],[Sale Date]],"dddd")</f>
        <v>Friday</v>
      </c>
    </row>
    <row r="705" spans="1:12" x14ac:dyDescent="0.3">
      <c r="A705" t="s">
        <v>728</v>
      </c>
      <c r="B705" t="s">
        <v>52</v>
      </c>
      <c r="C705" s="1">
        <v>44761</v>
      </c>
      <c r="D705" t="s">
        <v>60</v>
      </c>
      <c r="E705" t="s">
        <v>67</v>
      </c>
      <c r="F705">
        <v>65</v>
      </c>
      <c r="G705" t="s">
        <v>2</v>
      </c>
      <c r="H705" s="2">
        <v>13</v>
      </c>
      <c r="I705" s="3">
        <f t="shared" ca="1" si="3"/>
        <v>0.88737880861560581</v>
      </c>
      <c r="J705">
        <f>PRODUCT(Table3[[#This Row],[Price of One Product]],Table3[[#This Row],[No of Products in one Sale]])</f>
        <v>845</v>
      </c>
      <c r="K705" s="6">
        <f ca="1">Table3[[#This Row],[Actual Sale]]*(1-Table3[[#This Row],[Discount]])</f>
        <v>95.164906719813089</v>
      </c>
      <c r="L705" t="str">
        <f>TEXT(Table3[[#This Row],[Sale Date]],"dddd")</f>
        <v>Tuesday</v>
      </c>
    </row>
    <row r="706" spans="1:12" x14ac:dyDescent="0.3">
      <c r="A706" t="s">
        <v>729</v>
      </c>
      <c r="B706" t="s">
        <v>53</v>
      </c>
      <c r="C706" s="1">
        <v>44782</v>
      </c>
      <c r="D706" t="s">
        <v>61</v>
      </c>
      <c r="E706" t="s">
        <v>66</v>
      </c>
      <c r="F706">
        <v>250</v>
      </c>
      <c r="G706" t="s">
        <v>0</v>
      </c>
      <c r="H706" s="2">
        <v>3</v>
      </c>
      <c r="I706" s="3">
        <f t="shared" ca="1" si="3"/>
        <v>0.44129188007553499</v>
      </c>
      <c r="J706">
        <f>PRODUCT(Table3[[#This Row],[Price of One Product]],Table3[[#This Row],[No of Products in one Sale]])</f>
        <v>750</v>
      </c>
      <c r="K706" s="6">
        <f ca="1">Table3[[#This Row],[Actual Sale]]*(1-Table3[[#This Row],[Discount]])</f>
        <v>419.03108994334877</v>
      </c>
      <c r="L706" t="str">
        <f>TEXT(Table3[[#This Row],[Sale Date]],"dddd")</f>
        <v>Tuesday</v>
      </c>
    </row>
    <row r="707" spans="1:12" x14ac:dyDescent="0.3">
      <c r="A707" t="s">
        <v>730</v>
      </c>
      <c r="B707" t="s">
        <v>54</v>
      </c>
      <c r="C707" s="1">
        <v>44806</v>
      </c>
      <c r="D707" t="s">
        <v>62</v>
      </c>
      <c r="E707" t="s">
        <v>66</v>
      </c>
      <c r="F707">
        <v>130</v>
      </c>
      <c r="G707" t="s">
        <v>1</v>
      </c>
      <c r="H707" s="2">
        <v>2</v>
      </c>
      <c r="I707" s="3">
        <f t="shared" ca="1" si="3"/>
        <v>0.32628485728207834</v>
      </c>
      <c r="J707">
        <f>PRODUCT(Table3[[#This Row],[Price of One Product]],Table3[[#This Row],[No of Products in one Sale]])</f>
        <v>260</v>
      </c>
      <c r="K707" s="6">
        <f ca="1">Table3[[#This Row],[Actual Sale]]*(1-Table3[[#This Row],[Discount]])</f>
        <v>175.16593710665964</v>
      </c>
      <c r="L707" t="str">
        <f>TEXT(Table3[[#This Row],[Sale Date]],"dddd")</f>
        <v>Friday</v>
      </c>
    </row>
    <row r="708" spans="1:12" x14ac:dyDescent="0.3">
      <c r="A708" t="s">
        <v>731</v>
      </c>
      <c r="B708" t="s">
        <v>51</v>
      </c>
      <c r="C708" s="1">
        <v>44798</v>
      </c>
      <c r="D708" t="s">
        <v>59</v>
      </c>
      <c r="E708" t="s">
        <v>66</v>
      </c>
      <c r="F708">
        <v>72</v>
      </c>
      <c r="G708" t="s">
        <v>2</v>
      </c>
      <c r="H708" s="2">
        <v>5</v>
      </c>
      <c r="I708" s="3">
        <f t="shared" ca="1" si="3"/>
        <v>0.22069337309419201</v>
      </c>
      <c r="J708">
        <f>PRODUCT(Table3[[#This Row],[Price of One Product]],Table3[[#This Row],[No of Products in one Sale]])</f>
        <v>360</v>
      </c>
      <c r="K708" s="6">
        <f ca="1">Table3[[#This Row],[Actual Sale]]*(1-Table3[[#This Row],[Discount]])</f>
        <v>280.55038568609086</v>
      </c>
      <c r="L708" t="str">
        <f>TEXT(Table3[[#This Row],[Sale Date]],"dddd")</f>
        <v>Thursday</v>
      </c>
    </row>
    <row r="709" spans="1:12" x14ac:dyDescent="0.3">
      <c r="A709" t="s">
        <v>732</v>
      </c>
      <c r="B709" t="s">
        <v>52</v>
      </c>
      <c r="C709" s="1">
        <v>44758</v>
      </c>
      <c r="D709" t="s">
        <v>60</v>
      </c>
      <c r="E709" t="s">
        <v>66</v>
      </c>
      <c r="F709">
        <v>65</v>
      </c>
      <c r="G709" t="s">
        <v>0</v>
      </c>
      <c r="H709" s="2">
        <v>6</v>
      </c>
      <c r="I709" s="3">
        <f t="shared" ca="1" si="3"/>
        <v>0.93726796049843997</v>
      </c>
      <c r="J709">
        <f>PRODUCT(Table3[[#This Row],[Price of One Product]],Table3[[#This Row],[No of Products in one Sale]])</f>
        <v>390</v>
      </c>
      <c r="K709" s="6">
        <f ca="1">Table3[[#This Row],[Actual Sale]]*(1-Table3[[#This Row],[Discount]])</f>
        <v>24.465495405608412</v>
      </c>
      <c r="L709" t="str">
        <f>TEXT(Table3[[#This Row],[Sale Date]],"dddd")</f>
        <v>Saturday</v>
      </c>
    </row>
    <row r="710" spans="1:12" x14ac:dyDescent="0.3">
      <c r="A710" t="s">
        <v>733</v>
      </c>
      <c r="B710" t="s">
        <v>53</v>
      </c>
      <c r="C710" s="1">
        <v>44785</v>
      </c>
      <c r="D710" t="s">
        <v>61</v>
      </c>
      <c r="E710" t="s">
        <v>66</v>
      </c>
      <c r="F710">
        <v>250</v>
      </c>
      <c r="G710" t="s">
        <v>1</v>
      </c>
      <c r="H710" s="2">
        <v>1</v>
      </c>
      <c r="I710" s="3">
        <f t="shared" ca="1" si="3"/>
        <v>0.99692151278031671</v>
      </c>
      <c r="J710">
        <f>PRODUCT(Table3[[#This Row],[Price of One Product]],Table3[[#This Row],[No of Products in one Sale]])</f>
        <v>250</v>
      </c>
      <c r="K710" s="6">
        <f ca="1">Table3[[#This Row],[Actual Sale]]*(1-Table3[[#This Row],[Discount]])</f>
        <v>0.76962180492082255</v>
      </c>
      <c r="L710" t="str">
        <f>TEXT(Table3[[#This Row],[Sale Date]],"dddd")</f>
        <v>Friday</v>
      </c>
    </row>
    <row r="711" spans="1:12" x14ac:dyDescent="0.3">
      <c r="A711" t="s">
        <v>734</v>
      </c>
      <c r="B711" t="s">
        <v>54</v>
      </c>
      <c r="C711" s="1">
        <v>44761</v>
      </c>
      <c r="D711" t="s">
        <v>62</v>
      </c>
      <c r="E711" t="s">
        <v>66</v>
      </c>
      <c r="F711">
        <v>130</v>
      </c>
      <c r="G711" t="s">
        <v>2</v>
      </c>
      <c r="H711" s="2">
        <v>4</v>
      </c>
      <c r="I711" s="3">
        <f t="shared" ca="1" si="3"/>
        <v>9.7773208550986479E-2</v>
      </c>
      <c r="J711">
        <f>PRODUCT(Table3[[#This Row],[Price of One Product]],Table3[[#This Row],[No of Products in one Sale]])</f>
        <v>520</v>
      </c>
      <c r="K711" s="6">
        <f ca="1">Table3[[#This Row],[Actual Sale]]*(1-Table3[[#This Row],[Discount]])</f>
        <v>469.157931553487</v>
      </c>
      <c r="L711" t="str">
        <f>TEXT(Table3[[#This Row],[Sale Date]],"dddd")</f>
        <v>Tuesday</v>
      </c>
    </row>
    <row r="712" spans="1:12" x14ac:dyDescent="0.3">
      <c r="A712" t="s">
        <v>735</v>
      </c>
      <c r="B712" t="s">
        <v>55</v>
      </c>
      <c r="C712" s="1">
        <v>44800</v>
      </c>
      <c r="D712" t="s">
        <v>63</v>
      </c>
      <c r="E712" t="s">
        <v>66</v>
      </c>
      <c r="F712">
        <v>60</v>
      </c>
      <c r="G712" t="s">
        <v>0</v>
      </c>
      <c r="H712" s="2">
        <v>7</v>
      </c>
      <c r="I712" s="3">
        <f t="shared" ca="1" si="3"/>
        <v>0.47346098970416828</v>
      </c>
      <c r="J712">
        <f>PRODUCT(Table3[[#This Row],[Price of One Product]],Table3[[#This Row],[No of Products in one Sale]])</f>
        <v>420</v>
      </c>
      <c r="K712" s="6">
        <f ca="1">Table3[[#This Row],[Actual Sale]]*(1-Table3[[#This Row],[Discount]])</f>
        <v>221.14638432424931</v>
      </c>
      <c r="L712" t="str">
        <f>TEXT(Table3[[#This Row],[Sale Date]],"dddd")</f>
        <v>Saturday</v>
      </c>
    </row>
    <row r="713" spans="1:12" x14ac:dyDescent="0.3">
      <c r="A713" t="s">
        <v>736</v>
      </c>
      <c r="B713" t="s">
        <v>51</v>
      </c>
      <c r="C713" s="1">
        <v>44807</v>
      </c>
      <c r="D713" t="s">
        <v>59</v>
      </c>
      <c r="E713" t="s">
        <v>66</v>
      </c>
      <c r="F713">
        <v>72</v>
      </c>
      <c r="G713" t="s">
        <v>1</v>
      </c>
      <c r="H713" s="2">
        <v>6</v>
      </c>
      <c r="I713" s="3">
        <f t="shared" ca="1" si="3"/>
        <v>0.31353795355070602</v>
      </c>
      <c r="J713">
        <f>PRODUCT(Table3[[#This Row],[Price of One Product]],Table3[[#This Row],[No of Products in one Sale]])</f>
        <v>432</v>
      </c>
      <c r="K713" s="6">
        <f ca="1">Table3[[#This Row],[Actual Sale]]*(1-Table3[[#This Row],[Discount]])</f>
        <v>296.55160406609502</v>
      </c>
      <c r="L713" t="str">
        <f>TEXT(Table3[[#This Row],[Sale Date]],"dddd")</f>
        <v>Saturday</v>
      </c>
    </row>
    <row r="714" spans="1:12" x14ac:dyDescent="0.3">
      <c r="A714" t="s">
        <v>737</v>
      </c>
      <c r="B714" t="s">
        <v>52</v>
      </c>
      <c r="C714" s="1">
        <v>44799</v>
      </c>
      <c r="D714" t="s">
        <v>60</v>
      </c>
      <c r="E714" t="s">
        <v>66</v>
      </c>
      <c r="F714">
        <v>65</v>
      </c>
      <c r="G714" t="s">
        <v>2</v>
      </c>
      <c r="H714" s="2">
        <v>11</v>
      </c>
      <c r="I714" s="3">
        <f t="shared" ca="1" si="3"/>
        <v>0.55005050485724183</v>
      </c>
      <c r="J714">
        <f>PRODUCT(Table3[[#This Row],[Price of One Product]],Table3[[#This Row],[No of Products in one Sale]])</f>
        <v>715</v>
      </c>
      <c r="K714" s="6">
        <f ca="1">Table3[[#This Row],[Actual Sale]]*(1-Table3[[#This Row],[Discount]])</f>
        <v>321.71388902707207</v>
      </c>
      <c r="L714" t="str">
        <f>TEXT(Table3[[#This Row],[Sale Date]],"dddd")</f>
        <v>Friday</v>
      </c>
    </row>
    <row r="715" spans="1:12" x14ac:dyDescent="0.3">
      <c r="A715" t="s">
        <v>738</v>
      </c>
      <c r="B715" t="s">
        <v>53</v>
      </c>
      <c r="C715" s="1">
        <v>44759</v>
      </c>
      <c r="D715" t="s">
        <v>61</v>
      </c>
      <c r="E715" t="s">
        <v>67</v>
      </c>
      <c r="F715">
        <v>250</v>
      </c>
      <c r="G715" t="s">
        <v>0</v>
      </c>
      <c r="H715" s="2">
        <v>1</v>
      </c>
      <c r="I715" s="3">
        <f t="shared" ca="1" si="3"/>
        <v>0.67441447192206883</v>
      </c>
      <c r="J715">
        <f>PRODUCT(Table3[[#This Row],[Price of One Product]],Table3[[#This Row],[No of Products in one Sale]])</f>
        <v>250</v>
      </c>
      <c r="K715" s="6">
        <f ca="1">Table3[[#This Row],[Actual Sale]]*(1-Table3[[#This Row],[Discount]])</f>
        <v>81.3963820194828</v>
      </c>
      <c r="L715" t="str">
        <f>TEXT(Table3[[#This Row],[Sale Date]],"dddd")</f>
        <v>Sunday</v>
      </c>
    </row>
    <row r="716" spans="1:12" x14ac:dyDescent="0.3">
      <c r="A716" t="s">
        <v>739</v>
      </c>
      <c r="B716" t="s">
        <v>54</v>
      </c>
      <c r="C716" s="1">
        <v>44763</v>
      </c>
      <c r="D716" t="s">
        <v>62</v>
      </c>
      <c r="E716" t="s">
        <v>66</v>
      </c>
      <c r="F716">
        <v>130</v>
      </c>
      <c r="G716" t="s">
        <v>1</v>
      </c>
      <c r="H716" s="2">
        <v>2</v>
      </c>
      <c r="I716" s="3">
        <f t="shared" ca="1" si="3"/>
        <v>0.93337370322308422</v>
      </c>
      <c r="J716">
        <f>PRODUCT(Table3[[#This Row],[Price of One Product]],Table3[[#This Row],[No of Products in one Sale]])</f>
        <v>260</v>
      </c>
      <c r="K716" s="6">
        <f ca="1">Table3[[#This Row],[Actual Sale]]*(1-Table3[[#This Row],[Discount]])</f>
        <v>17.322837161998102</v>
      </c>
      <c r="L716" t="str">
        <f>TEXT(Table3[[#This Row],[Sale Date]],"dddd")</f>
        <v>Thursday</v>
      </c>
    </row>
    <row r="717" spans="1:12" x14ac:dyDescent="0.3">
      <c r="A717" t="s">
        <v>740</v>
      </c>
      <c r="B717" t="s">
        <v>51</v>
      </c>
      <c r="C717" s="1">
        <v>44776</v>
      </c>
      <c r="D717" t="s">
        <v>59</v>
      </c>
      <c r="E717" t="s">
        <v>66</v>
      </c>
      <c r="F717">
        <v>72</v>
      </c>
      <c r="G717" t="s">
        <v>2</v>
      </c>
      <c r="H717" s="2">
        <v>12</v>
      </c>
      <c r="I717" s="3">
        <f t="shared" ca="1" si="3"/>
        <v>0.87547711085280366</v>
      </c>
      <c r="J717">
        <f>PRODUCT(Table3[[#This Row],[Price of One Product]],Table3[[#This Row],[No of Products in one Sale]])</f>
        <v>864</v>
      </c>
      <c r="K717" s="6">
        <f ca="1">Table3[[#This Row],[Actual Sale]]*(1-Table3[[#This Row],[Discount]])</f>
        <v>107.58777622317763</v>
      </c>
      <c r="L717" t="str">
        <f>TEXT(Table3[[#This Row],[Sale Date]],"dddd")</f>
        <v>Wednesday</v>
      </c>
    </row>
    <row r="718" spans="1:12" x14ac:dyDescent="0.3">
      <c r="A718" t="s">
        <v>741</v>
      </c>
      <c r="B718" t="s">
        <v>52</v>
      </c>
      <c r="C718" s="1">
        <v>44763</v>
      </c>
      <c r="D718" t="s">
        <v>60</v>
      </c>
      <c r="E718" t="s">
        <v>66</v>
      </c>
      <c r="F718">
        <v>65</v>
      </c>
      <c r="G718" t="s">
        <v>0</v>
      </c>
      <c r="H718" s="2">
        <v>9</v>
      </c>
      <c r="I718" s="3">
        <f t="shared" ca="1" si="3"/>
        <v>0.87694832667018008</v>
      </c>
      <c r="J718">
        <f>PRODUCT(Table3[[#This Row],[Price of One Product]],Table3[[#This Row],[No of Products in one Sale]])</f>
        <v>585</v>
      </c>
      <c r="K718" s="6">
        <f ca="1">Table3[[#This Row],[Actual Sale]]*(1-Table3[[#This Row],[Discount]])</f>
        <v>71.985228897944651</v>
      </c>
      <c r="L718" t="str">
        <f>TEXT(Table3[[#This Row],[Sale Date]],"dddd")</f>
        <v>Thursday</v>
      </c>
    </row>
    <row r="719" spans="1:12" x14ac:dyDescent="0.3">
      <c r="A719" t="s">
        <v>742</v>
      </c>
      <c r="B719" t="s">
        <v>53</v>
      </c>
      <c r="C719" s="1">
        <v>44803</v>
      </c>
      <c r="D719" t="s">
        <v>61</v>
      </c>
      <c r="E719" t="s">
        <v>66</v>
      </c>
      <c r="F719">
        <v>250</v>
      </c>
      <c r="G719" t="s">
        <v>1</v>
      </c>
      <c r="H719" s="2">
        <v>2</v>
      </c>
      <c r="I719" s="3">
        <f t="shared" ca="1" si="3"/>
        <v>0.38694784883117106</v>
      </c>
      <c r="J719">
        <f>PRODUCT(Table3[[#This Row],[Price of One Product]],Table3[[#This Row],[No of Products in one Sale]])</f>
        <v>500</v>
      </c>
      <c r="K719" s="6">
        <f ca="1">Table3[[#This Row],[Actual Sale]]*(1-Table3[[#This Row],[Discount]])</f>
        <v>306.52607558441446</v>
      </c>
      <c r="L719" t="str">
        <f>TEXT(Table3[[#This Row],[Sale Date]],"dddd")</f>
        <v>Tuesday</v>
      </c>
    </row>
    <row r="720" spans="1:12" x14ac:dyDescent="0.3">
      <c r="A720" t="s">
        <v>743</v>
      </c>
      <c r="B720" t="s">
        <v>54</v>
      </c>
      <c r="C720" s="1">
        <v>44806</v>
      </c>
      <c r="D720" t="s">
        <v>62</v>
      </c>
      <c r="E720" t="s">
        <v>66</v>
      </c>
      <c r="F720">
        <v>130</v>
      </c>
      <c r="G720" t="s">
        <v>2</v>
      </c>
      <c r="H720" s="2">
        <v>2</v>
      </c>
      <c r="I720" s="3">
        <f t="shared" ca="1" si="3"/>
        <v>0.49676161076814451</v>
      </c>
      <c r="J720">
        <f>PRODUCT(Table3[[#This Row],[Price of One Product]],Table3[[#This Row],[No of Products in one Sale]])</f>
        <v>260</v>
      </c>
      <c r="K720" s="6">
        <f ca="1">Table3[[#This Row],[Actual Sale]]*(1-Table3[[#This Row],[Discount]])</f>
        <v>130.84198120028242</v>
      </c>
      <c r="L720" t="str">
        <f>TEXT(Table3[[#This Row],[Sale Date]],"dddd")</f>
        <v>Friday</v>
      </c>
    </row>
    <row r="721" spans="1:12" x14ac:dyDescent="0.3">
      <c r="A721" t="s">
        <v>744</v>
      </c>
      <c r="B721" t="s">
        <v>55</v>
      </c>
      <c r="C721" s="1">
        <v>44774</v>
      </c>
      <c r="D721" t="s">
        <v>63</v>
      </c>
      <c r="E721" t="s">
        <v>67</v>
      </c>
      <c r="F721">
        <v>60</v>
      </c>
      <c r="G721" t="s">
        <v>0</v>
      </c>
      <c r="H721" s="2">
        <v>12</v>
      </c>
      <c r="I721" s="3">
        <f t="shared" ca="1" si="3"/>
        <v>0.6140404919184187</v>
      </c>
      <c r="J721">
        <f>PRODUCT(Table3[[#This Row],[Price of One Product]],Table3[[#This Row],[No of Products in one Sale]])</f>
        <v>720</v>
      </c>
      <c r="K721" s="6">
        <f ca="1">Table3[[#This Row],[Actual Sale]]*(1-Table3[[#This Row],[Discount]])</f>
        <v>277.89084581873851</v>
      </c>
      <c r="L721" t="str">
        <f>TEXT(Table3[[#This Row],[Sale Date]],"dddd")</f>
        <v>Monday</v>
      </c>
    </row>
    <row r="722" spans="1:12" x14ac:dyDescent="0.3">
      <c r="A722" t="s">
        <v>745</v>
      </c>
      <c r="B722" t="s">
        <v>56</v>
      </c>
      <c r="C722" s="1">
        <v>44769</v>
      </c>
      <c r="D722" t="s">
        <v>64</v>
      </c>
      <c r="E722" t="s">
        <v>66</v>
      </c>
      <c r="F722">
        <v>95</v>
      </c>
      <c r="G722" t="s">
        <v>1</v>
      </c>
      <c r="H722" s="2">
        <v>5</v>
      </c>
      <c r="I722" s="3">
        <f t="shared" ca="1" si="3"/>
        <v>0.49521564985144917</v>
      </c>
      <c r="J722">
        <f>PRODUCT(Table3[[#This Row],[Price of One Product]],Table3[[#This Row],[No of Products in one Sale]])</f>
        <v>475</v>
      </c>
      <c r="K722" s="6">
        <f ca="1">Table3[[#This Row],[Actual Sale]]*(1-Table3[[#This Row],[Discount]])</f>
        <v>239.77256632056165</v>
      </c>
      <c r="L722" t="str">
        <f>TEXT(Table3[[#This Row],[Sale Date]],"dddd")</f>
        <v>Wednesday</v>
      </c>
    </row>
    <row r="723" spans="1:12" x14ac:dyDescent="0.3">
      <c r="A723" t="s">
        <v>746</v>
      </c>
      <c r="B723" t="s">
        <v>51</v>
      </c>
      <c r="C723" s="1">
        <v>44793</v>
      </c>
      <c r="D723" t="s">
        <v>59</v>
      </c>
      <c r="E723" t="s">
        <v>66</v>
      </c>
      <c r="F723">
        <v>72</v>
      </c>
      <c r="G723" t="s">
        <v>2</v>
      </c>
      <c r="H723" s="2">
        <v>8</v>
      </c>
      <c r="I723" s="3">
        <f t="shared" ca="1" si="3"/>
        <v>5.2883653456226476E-2</v>
      </c>
      <c r="J723">
        <f>PRODUCT(Table3[[#This Row],[Price of One Product]],Table3[[#This Row],[No of Products in one Sale]])</f>
        <v>576</v>
      </c>
      <c r="K723" s="6">
        <f ca="1">Table3[[#This Row],[Actual Sale]]*(1-Table3[[#This Row],[Discount]])</f>
        <v>545.53901560921349</v>
      </c>
      <c r="L723" t="str">
        <f>TEXT(Table3[[#This Row],[Sale Date]],"dddd")</f>
        <v>Saturday</v>
      </c>
    </row>
    <row r="724" spans="1:12" x14ac:dyDescent="0.3">
      <c r="A724" t="s">
        <v>747</v>
      </c>
      <c r="B724" t="s">
        <v>52</v>
      </c>
      <c r="C724" s="1">
        <v>44768</v>
      </c>
      <c r="D724" t="s">
        <v>60</v>
      </c>
      <c r="E724" t="s">
        <v>66</v>
      </c>
      <c r="F724">
        <v>65</v>
      </c>
      <c r="G724" t="s">
        <v>0</v>
      </c>
      <c r="H724" s="2">
        <v>4</v>
      </c>
      <c r="I724" s="3">
        <f t="shared" ca="1" si="3"/>
        <v>0.99550053936462612</v>
      </c>
      <c r="J724">
        <f>PRODUCT(Table3[[#This Row],[Price of One Product]],Table3[[#This Row],[No of Products in one Sale]])</f>
        <v>260</v>
      </c>
      <c r="K724" s="6">
        <f ca="1">Table3[[#This Row],[Actual Sale]]*(1-Table3[[#This Row],[Discount]])</f>
        <v>1.1698597651972076</v>
      </c>
      <c r="L724" t="str">
        <f>TEXT(Table3[[#This Row],[Sale Date]],"dddd")</f>
        <v>Tuesday</v>
      </c>
    </row>
    <row r="725" spans="1:12" x14ac:dyDescent="0.3">
      <c r="A725" t="s">
        <v>748</v>
      </c>
      <c r="B725" t="s">
        <v>53</v>
      </c>
      <c r="C725" s="1">
        <v>44803</v>
      </c>
      <c r="D725" t="s">
        <v>61</v>
      </c>
      <c r="E725" t="s">
        <v>67</v>
      </c>
      <c r="F725">
        <v>250</v>
      </c>
      <c r="G725" t="s">
        <v>1</v>
      </c>
      <c r="H725" s="2">
        <v>2</v>
      </c>
      <c r="I725" s="3">
        <f t="shared" ca="1" si="3"/>
        <v>0.89736706290167534</v>
      </c>
      <c r="J725">
        <f>PRODUCT(Table3[[#This Row],[Price of One Product]],Table3[[#This Row],[No of Products in one Sale]])</f>
        <v>500</v>
      </c>
      <c r="K725" s="6">
        <f ca="1">Table3[[#This Row],[Actual Sale]]*(1-Table3[[#This Row],[Discount]])</f>
        <v>51.31646854916233</v>
      </c>
      <c r="L725" t="str">
        <f>TEXT(Table3[[#This Row],[Sale Date]],"dddd")</f>
        <v>Tuesday</v>
      </c>
    </row>
    <row r="726" spans="1:12" x14ac:dyDescent="0.3">
      <c r="A726" t="s">
        <v>749</v>
      </c>
      <c r="B726" t="s">
        <v>54</v>
      </c>
      <c r="C726" s="1">
        <v>44755</v>
      </c>
      <c r="D726" t="s">
        <v>62</v>
      </c>
      <c r="E726" t="s">
        <v>67</v>
      </c>
      <c r="F726">
        <v>130</v>
      </c>
      <c r="G726" t="s">
        <v>2</v>
      </c>
      <c r="H726" s="2">
        <v>4</v>
      </c>
      <c r="I726" s="3">
        <f t="shared" ca="1" si="3"/>
        <v>0.19189984497210411</v>
      </c>
      <c r="J726">
        <f>PRODUCT(Table3[[#This Row],[Price of One Product]],Table3[[#This Row],[No of Products in one Sale]])</f>
        <v>520</v>
      </c>
      <c r="K726" s="6">
        <f ca="1">Table3[[#This Row],[Actual Sale]]*(1-Table3[[#This Row],[Discount]])</f>
        <v>420.21208061450585</v>
      </c>
      <c r="L726" t="str">
        <f>TEXT(Table3[[#This Row],[Sale Date]],"dddd")</f>
        <v>Wednesday</v>
      </c>
    </row>
    <row r="727" spans="1:12" x14ac:dyDescent="0.3">
      <c r="A727" t="s">
        <v>750</v>
      </c>
      <c r="B727" t="s">
        <v>51</v>
      </c>
      <c r="C727" s="1">
        <v>44789</v>
      </c>
      <c r="D727" t="s">
        <v>59</v>
      </c>
      <c r="E727" t="s">
        <v>67</v>
      </c>
      <c r="F727">
        <v>72</v>
      </c>
      <c r="G727" t="s">
        <v>0</v>
      </c>
      <c r="H727" s="2">
        <v>5</v>
      </c>
      <c r="I727" s="3">
        <f t="shared" ca="1" si="3"/>
        <v>0.94661167970071458</v>
      </c>
      <c r="J727">
        <f>PRODUCT(Table3[[#This Row],[Price of One Product]],Table3[[#This Row],[No of Products in one Sale]])</f>
        <v>360</v>
      </c>
      <c r="K727" s="6">
        <f ca="1">Table3[[#This Row],[Actual Sale]]*(1-Table3[[#This Row],[Discount]])</f>
        <v>19.21979530774275</v>
      </c>
      <c r="L727" t="str">
        <f>TEXT(Table3[[#This Row],[Sale Date]],"dddd")</f>
        <v>Tuesday</v>
      </c>
    </row>
    <row r="728" spans="1:12" x14ac:dyDescent="0.3">
      <c r="A728" t="s">
        <v>751</v>
      </c>
      <c r="B728" t="s">
        <v>52</v>
      </c>
      <c r="C728" s="1">
        <v>44785</v>
      </c>
      <c r="D728" t="s">
        <v>60</v>
      </c>
      <c r="E728" t="s">
        <v>67</v>
      </c>
      <c r="F728">
        <v>65</v>
      </c>
      <c r="G728" t="s">
        <v>1</v>
      </c>
      <c r="H728" s="2">
        <v>10</v>
      </c>
      <c r="I728" s="3">
        <f t="shared" ca="1" si="3"/>
        <v>0.30904633088174194</v>
      </c>
      <c r="J728">
        <f>PRODUCT(Table3[[#This Row],[Price of One Product]],Table3[[#This Row],[No of Products in one Sale]])</f>
        <v>650</v>
      </c>
      <c r="K728" s="6">
        <f ca="1">Table3[[#This Row],[Actual Sale]]*(1-Table3[[#This Row],[Discount]])</f>
        <v>449.11988492686771</v>
      </c>
      <c r="L728" t="str">
        <f>TEXT(Table3[[#This Row],[Sale Date]],"dddd")</f>
        <v>Friday</v>
      </c>
    </row>
    <row r="729" spans="1:12" x14ac:dyDescent="0.3">
      <c r="A729" t="s">
        <v>752</v>
      </c>
      <c r="B729" t="s">
        <v>53</v>
      </c>
      <c r="C729" s="1">
        <v>44775</v>
      </c>
      <c r="D729" t="s">
        <v>61</v>
      </c>
      <c r="E729" t="s">
        <v>67</v>
      </c>
      <c r="F729">
        <v>250</v>
      </c>
      <c r="G729" t="s">
        <v>2</v>
      </c>
      <c r="H729" s="2">
        <v>2</v>
      </c>
      <c r="I729" s="3">
        <f t="shared" ca="1" si="3"/>
        <v>0.84116299580918286</v>
      </c>
      <c r="J729">
        <f>PRODUCT(Table3[[#This Row],[Price of One Product]],Table3[[#This Row],[No of Products in one Sale]])</f>
        <v>500</v>
      </c>
      <c r="K729" s="6">
        <f ca="1">Table3[[#This Row],[Actual Sale]]*(1-Table3[[#This Row],[Discount]])</f>
        <v>79.41850209540857</v>
      </c>
      <c r="L729" t="str">
        <f>TEXT(Table3[[#This Row],[Sale Date]],"dddd")</f>
        <v>Tuesday</v>
      </c>
    </row>
    <row r="730" spans="1:12" x14ac:dyDescent="0.3">
      <c r="A730" t="s">
        <v>753</v>
      </c>
      <c r="B730" t="s">
        <v>54</v>
      </c>
      <c r="C730" s="1">
        <v>44807</v>
      </c>
      <c r="D730" t="s">
        <v>62</v>
      </c>
      <c r="E730" t="s">
        <v>67</v>
      </c>
      <c r="F730">
        <v>130</v>
      </c>
      <c r="G730" t="s">
        <v>0</v>
      </c>
      <c r="H730" s="2">
        <v>3</v>
      </c>
      <c r="I730" s="3">
        <f t="shared" ca="1" si="3"/>
        <v>0.7612686344119507</v>
      </c>
      <c r="J730">
        <f>PRODUCT(Table3[[#This Row],[Price of One Product]],Table3[[#This Row],[No of Products in one Sale]])</f>
        <v>390</v>
      </c>
      <c r="K730" s="6">
        <f ca="1">Table3[[#This Row],[Actual Sale]]*(1-Table3[[#This Row],[Discount]])</f>
        <v>93.10523257933923</v>
      </c>
      <c r="L730" t="str">
        <f>TEXT(Table3[[#This Row],[Sale Date]],"dddd")</f>
        <v>Saturday</v>
      </c>
    </row>
    <row r="731" spans="1:12" x14ac:dyDescent="0.3">
      <c r="A731" t="s">
        <v>754</v>
      </c>
      <c r="B731" t="s">
        <v>51</v>
      </c>
      <c r="C731" s="1">
        <v>44765</v>
      </c>
      <c r="D731" t="s">
        <v>59</v>
      </c>
      <c r="E731" t="s">
        <v>67</v>
      </c>
      <c r="F731">
        <v>72</v>
      </c>
      <c r="G731" t="s">
        <v>0</v>
      </c>
      <c r="H731" s="2">
        <v>9</v>
      </c>
      <c r="I731" s="3">
        <f t="shared" ca="1" si="3"/>
        <v>0.95647630282404517</v>
      </c>
      <c r="J731">
        <f>PRODUCT(Table3[[#This Row],[Price of One Product]],Table3[[#This Row],[No of Products in one Sale]])</f>
        <v>648</v>
      </c>
      <c r="K731" s="6">
        <f ca="1">Table3[[#This Row],[Actual Sale]]*(1-Table3[[#This Row],[Discount]])</f>
        <v>28.203355770018732</v>
      </c>
      <c r="L731" t="str">
        <f>TEXT(Table3[[#This Row],[Sale Date]],"dddd")</f>
        <v>Saturday</v>
      </c>
    </row>
    <row r="732" spans="1:12" x14ac:dyDescent="0.3">
      <c r="A732" t="s">
        <v>755</v>
      </c>
      <c r="B732" t="s">
        <v>52</v>
      </c>
      <c r="C732" s="1">
        <v>44791</v>
      </c>
      <c r="D732" t="s">
        <v>60</v>
      </c>
      <c r="E732" t="s">
        <v>66</v>
      </c>
      <c r="F732">
        <v>65</v>
      </c>
      <c r="G732" t="s">
        <v>1</v>
      </c>
      <c r="H732" s="2">
        <v>11</v>
      </c>
      <c r="I732" s="3">
        <f t="shared" ca="1" si="3"/>
        <v>0.85186453892219205</v>
      </c>
      <c r="J732">
        <f>PRODUCT(Table3[[#This Row],[Price of One Product]],Table3[[#This Row],[No of Products in one Sale]])</f>
        <v>715</v>
      </c>
      <c r="K732" s="6">
        <f ca="1">Table3[[#This Row],[Actual Sale]]*(1-Table3[[#This Row],[Discount]])</f>
        <v>105.91685467063269</v>
      </c>
      <c r="L732" t="str">
        <f>TEXT(Table3[[#This Row],[Sale Date]],"dddd")</f>
        <v>Thursday</v>
      </c>
    </row>
    <row r="733" spans="1:12" x14ac:dyDescent="0.3">
      <c r="A733" t="s">
        <v>756</v>
      </c>
      <c r="B733" t="s">
        <v>53</v>
      </c>
      <c r="C733" s="1">
        <v>44777</v>
      </c>
      <c r="D733" t="s">
        <v>61</v>
      </c>
      <c r="E733" t="s">
        <v>66</v>
      </c>
      <c r="F733">
        <v>250</v>
      </c>
      <c r="G733" t="s">
        <v>2</v>
      </c>
      <c r="H733" s="2">
        <v>1</v>
      </c>
      <c r="I733" s="3">
        <f t="shared" ca="1" si="3"/>
        <v>0.54174164890603116</v>
      </c>
      <c r="J733">
        <f>PRODUCT(Table3[[#This Row],[Price of One Product]],Table3[[#This Row],[No of Products in one Sale]])</f>
        <v>250</v>
      </c>
      <c r="K733" s="6">
        <f ca="1">Table3[[#This Row],[Actual Sale]]*(1-Table3[[#This Row],[Discount]])</f>
        <v>114.56458777349221</v>
      </c>
      <c r="L733" t="str">
        <f>TEXT(Table3[[#This Row],[Sale Date]],"dddd")</f>
        <v>Thursday</v>
      </c>
    </row>
    <row r="734" spans="1:12" x14ac:dyDescent="0.3">
      <c r="A734" t="s">
        <v>757</v>
      </c>
      <c r="B734" t="s">
        <v>54</v>
      </c>
      <c r="C734" s="1">
        <v>44806</v>
      </c>
      <c r="D734" t="s">
        <v>62</v>
      </c>
      <c r="E734" t="s">
        <v>66</v>
      </c>
      <c r="F734">
        <v>130</v>
      </c>
      <c r="G734" t="s">
        <v>0</v>
      </c>
      <c r="H734" s="2">
        <v>5</v>
      </c>
      <c r="I734" s="3">
        <f t="shared" ca="1" si="3"/>
        <v>0.84770118089955182</v>
      </c>
      <c r="J734">
        <f>PRODUCT(Table3[[#This Row],[Price of One Product]],Table3[[#This Row],[No of Products in one Sale]])</f>
        <v>650</v>
      </c>
      <c r="K734" s="6">
        <f ca="1">Table3[[#This Row],[Actual Sale]]*(1-Table3[[#This Row],[Discount]])</f>
        <v>98.994232415291322</v>
      </c>
      <c r="L734" t="str">
        <f>TEXT(Table3[[#This Row],[Sale Date]],"dddd")</f>
        <v>Friday</v>
      </c>
    </row>
    <row r="735" spans="1:12" x14ac:dyDescent="0.3">
      <c r="A735" t="s">
        <v>758</v>
      </c>
      <c r="B735" t="s">
        <v>51</v>
      </c>
      <c r="C735" s="1">
        <v>44796</v>
      </c>
      <c r="D735" t="s">
        <v>59</v>
      </c>
      <c r="E735" t="s">
        <v>67</v>
      </c>
      <c r="F735">
        <v>72</v>
      </c>
      <c r="G735" t="s">
        <v>1</v>
      </c>
      <c r="H735" s="2">
        <v>11</v>
      </c>
      <c r="I735" s="3">
        <f t="shared" ca="1" si="3"/>
        <v>2.2128929343416592E-2</v>
      </c>
      <c r="J735">
        <f>PRODUCT(Table3[[#This Row],[Price of One Product]],Table3[[#This Row],[No of Products in one Sale]])</f>
        <v>792</v>
      </c>
      <c r="K735" s="6">
        <f ca="1">Table3[[#This Row],[Actual Sale]]*(1-Table3[[#This Row],[Discount]])</f>
        <v>774.47388796001405</v>
      </c>
      <c r="L735" t="str">
        <f>TEXT(Table3[[#This Row],[Sale Date]],"dddd")</f>
        <v>Tuesday</v>
      </c>
    </row>
    <row r="736" spans="1:12" x14ac:dyDescent="0.3">
      <c r="A736" t="s">
        <v>759</v>
      </c>
      <c r="B736" t="s">
        <v>52</v>
      </c>
      <c r="C736" s="1">
        <v>44760</v>
      </c>
      <c r="D736" t="s">
        <v>60</v>
      </c>
      <c r="E736" t="s">
        <v>67</v>
      </c>
      <c r="F736">
        <v>65</v>
      </c>
      <c r="G736" t="s">
        <v>2</v>
      </c>
      <c r="H736" s="2">
        <v>10</v>
      </c>
      <c r="I736" s="3">
        <f t="shared" ca="1" si="3"/>
        <v>0.41836091595505687</v>
      </c>
      <c r="J736">
        <f>PRODUCT(Table3[[#This Row],[Price of One Product]],Table3[[#This Row],[No of Products in one Sale]])</f>
        <v>650</v>
      </c>
      <c r="K736" s="6">
        <f ca="1">Table3[[#This Row],[Actual Sale]]*(1-Table3[[#This Row],[Discount]])</f>
        <v>378.06540462921305</v>
      </c>
      <c r="L736" t="str">
        <f>TEXT(Table3[[#This Row],[Sale Date]],"dddd")</f>
        <v>Monday</v>
      </c>
    </row>
    <row r="737" spans="1:12" x14ac:dyDescent="0.3">
      <c r="A737" t="s">
        <v>760</v>
      </c>
      <c r="B737" t="s">
        <v>53</v>
      </c>
      <c r="C737" s="1">
        <v>44759</v>
      </c>
      <c r="D737" t="s">
        <v>61</v>
      </c>
      <c r="E737" t="s">
        <v>67</v>
      </c>
      <c r="F737">
        <v>250</v>
      </c>
      <c r="G737" t="s">
        <v>0</v>
      </c>
      <c r="H737" s="2">
        <v>2</v>
      </c>
      <c r="I737" s="3">
        <f t="shared" ca="1" si="3"/>
        <v>0.33821993391622063</v>
      </c>
      <c r="J737">
        <f>PRODUCT(Table3[[#This Row],[Price of One Product]],Table3[[#This Row],[No of Products in one Sale]])</f>
        <v>500</v>
      </c>
      <c r="K737" s="6">
        <f ca="1">Table3[[#This Row],[Actual Sale]]*(1-Table3[[#This Row],[Discount]])</f>
        <v>330.89003304188969</v>
      </c>
      <c r="L737" t="str">
        <f>TEXT(Table3[[#This Row],[Sale Date]],"dddd")</f>
        <v>Sunday</v>
      </c>
    </row>
    <row r="738" spans="1:12" x14ac:dyDescent="0.3">
      <c r="A738" t="s">
        <v>761</v>
      </c>
      <c r="B738" t="s">
        <v>54</v>
      </c>
      <c r="C738" s="1">
        <v>44795</v>
      </c>
      <c r="D738" t="s">
        <v>62</v>
      </c>
      <c r="E738" t="s">
        <v>67</v>
      </c>
      <c r="F738">
        <v>130</v>
      </c>
      <c r="G738" t="s">
        <v>1</v>
      </c>
      <c r="H738" s="2">
        <v>4</v>
      </c>
      <c r="I738" s="3">
        <f t="shared" ca="1" si="3"/>
        <v>0.86589333744365227</v>
      </c>
      <c r="J738">
        <f>PRODUCT(Table3[[#This Row],[Price of One Product]],Table3[[#This Row],[No of Products in one Sale]])</f>
        <v>520</v>
      </c>
      <c r="K738" s="6">
        <f ca="1">Table3[[#This Row],[Actual Sale]]*(1-Table3[[#This Row],[Discount]])</f>
        <v>69.735464529300828</v>
      </c>
      <c r="L738" t="str">
        <f>TEXT(Table3[[#This Row],[Sale Date]],"dddd")</f>
        <v>Monday</v>
      </c>
    </row>
    <row r="739" spans="1:12" x14ac:dyDescent="0.3">
      <c r="A739" t="s">
        <v>762</v>
      </c>
      <c r="B739" t="s">
        <v>55</v>
      </c>
      <c r="C739" s="1">
        <v>44808</v>
      </c>
      <c r="D739" t="s">
        <v>63</v>
      </c>
      <c r="E739" t="s">
        <v>67</v>
      </c>
      <c r="F739">
        <v>60</v>
      </c>
      <c r="G739" t="s">
        <v>2</v>
      </c>
      <c r="H739" s="2">
        <v>4</v>
      </c>
      <c r="I739" s="3">
        <f t="shared" ca="1" si="3"/>
        <v>0.5898059941427154</v>
      </c>
      <c r="J739">
        <f>PRODUCT(Table3[[#This Row],[Price of One Product]],Table3[[#This Row],[No of Products in one Sale]])</f>
        <v>240</v>
      </c>
      <c r="K739" s="6">
        <f ca="1">Table3[[#This Row],[Actual Sale]]*(1-Table3[[#This Row],[Discount]])</f>
        <v>98.446561405748298</v>
      </c>
      <c r="L739" t="str">
        <f>TEXT(Table3[[#This Row],[Sale Date]],"dddd")</f>
        <v>Sunday</v>
      </c>
    </row>
    <row r="740" spans="1:12" x14ac:dyDescent="0.3">
      <c r="A740" t="s">
        <v>763</v>
      </c>
      <c r="B740" t="s">
        <v>51</v>
      </c>
      <c r="C740" s="1">
        <v>44756</v>
      </c>
      <c r="D740" t="s">
        <v>59</v>
      </c>
      <c r="E740" t="s">
        <v>67</v>
      </c>
      <c r="F740">
        <v>72</v>
      </c>
      <c r="G740" t="s">
        <v>0</v>
      </c>
      <c r="H740" s="2">
        <v>12</v>
      </c>
      <c r="I740" s="3">
        <f t="shared" ca="1" si="3"/>
        <v>0.55884048028594457</v>
      </c>
      <c r="J740">
        <f>PRODUCT(Table3[[#This Row],[Price of One Product]],Table3[[#This Row],[No of Products in one Sale]])</f>
        <v>864</v>
      </c>
      <c r="K740" s="6">
        <f ca="1">Table3[[#This Row],[Actual Sale]]*(1-Table3[[#This Row],[Discount]])</f>
        <v>381.16182503294391</v>
      </c>
      <c r="L740" t="str">
        <f>TEXT(Table3[[#This Row],[Sale Date]],"dddd")</f>
        <v>Thursday</v>
      </c>
    </row>
    <row r="741" spans="1:12" x14ac:dyDescent="0.3">
      <c r="A741" t="s">
        <v>764</v>
      </c>
      <c r="B741" t="s">
        <v>52</v>
      </c>
      <c r="C741" s="1">
        <v>44801</v>
      </c>
      <c r="D741" t="s">
        <v>60</v>
      </c>
      <c r="E741" t="s">
        <v>67</v>
      </c>
      <c r="F741">
        <v>65</v>
      </c>
      <c r="G741" t="s">
        <v>1</v>
      </c>
      <c r="H741" s="2">
        <v>5</v>
      </c>
      <c r="I741" s="3">
        <f t="shared" ca="1" si="3"/>
        <v>0.62668536127689423</v>
      </c>
      <c r="J741">
        <f>PRODUCT(Table3[[#This Row],[Price of One Product]],Table3[[#This Row],[No of Products in one Sale]])</f>
        <v>325</v>
      </c>
      <c r="K741" s="6">
        <f ca="1">Table3[[#This Row],[Actual Sale]]*(1-Table3[[#This Row],[Discount]])</f>
        <v>121.32725758500938</v>
      </c>
      <c r="L741" t="str">
        <f>TEXT(Table3[[#This Row],[Sale Date]],"dddd")</f>
        <v>Sunday</v>
      </c>
    </row>
    <row r="742" spans="1:12" x14ac:dyDescent="0.3">
      <c r="A742" t="s">
        <v>765</v>
      </c>
      <c r="B742" t="s">
        <v>53</v>
      </c>
      <c r="C742" s="1">
        <v>44806</v>
      </c>
      <c r="D742" t="s">
        <v>61</v>
      </c>
      <c r="E742" t="s">
        <v>66</v>
      </c>
      <c r="F742">
        <v>250</v>
      </c>
      <c r="G742" t="s">
        <v>2</v>
      </c>
      <c r="H742" s="2">
        <v>3</v>
      </c>
      <c r="I742" s="3">
        <f t="shared" ca="1" si="3"/>
        <v>0.51584757287899141</v>
      </c>
      <c r="J742">
        <f>PRODUCT(Table3[[#This Row],[Price of One Product]],Table3[[#This Row],[No of Products in one Sale]])</f>
        <v>750</v>
      </c>
      <c r="K742" s="6">
        <f ca="1">Table3[[#This Row],[Actual Sale]]*(1-Table3[[#This Row],[Discount]])</f>
        <v>363.11432034075642</v>
      </c>
      <c r="L742" t="str">
        <f>TEXT(Table3[[#This Row],[Sale Date]],"dddd")</f>
        <v>Friday</v>
      </c>
    </row>
    <row r="743" spans="1:12" x14ac:dyDescent="0.3">
      <c r="A743" t="s">
        <v>766</v>
      </c>
      <c r="B743" t="s">
        <v>54</v>
      </c>
      <c r="C743" s="1">
        <v>44794</v>
      </c>
      <c r="D743" t="s">
        <v>62</v>
      </c>
      <c r="E743" t="s">
        <v>66</v>
      </c>
      <c r="F743">
        <v>130</v>
      </c>
      <c r="G743" t="s">
        <v>0</v>
      </c>
      <c r="H743" s="2">
        <v>2</v>
      </c>
      <c r="I743" s="3">
        <f t="shared" ca="1" si="3"/>
        <v>2.1756265818190124E-2</v>
      </c>
      <c r="J743">
        <f>PRODUCT(Table3[[#This Row],[Price of One Product]],Table3[[#This Row],[No of Products in one Sale]])</f>
        <v>260</v>
      </c>
      <c r="K743" s="6">
        <f ca="1">Table3[[#This Row],[Actual Sale]]*(1-Table3[[#This Row],[Discount]])</f>
        <v>254.34337088727057</v>
      </c>
      <c r="L743" t="str">
        <f>TEXT(Table3[[#This Row],[Sale Date]],"dddd")</f>
        <v>Sunday</v>
      </c>
    </row>
    <row r="744" spans="1:12" x14ac:dyDescent="0.3">
      <c r="A744" t="s">
        <v>767</v>
      </c>
      <c r="B744" t="s">
        <v>51</v>
      </c>
      <c r="C744" s="1">
        <v>44800</v>
      </c>
      <c r="D744" t="s">
        <v>59</v>
      </c>
      <c r="E744" t="s">
        <v>66</v>
      </c>
      <c r="F744">
        <v>72</v>
      </c>
      <c r="G744" t="s">
        <v>1</v>
      </c>
      <c r="H744" s="2">
        <v>7</v>
      </c>
      <c r="I744" s="3">
        <f t="shared" ca="1" si="3"/>
        <v>0.16227847488174563</v>
      </c>
      <c r="J744">
        <f>PRODUCT(Table3[[#This Row],[Price of One Product]],Table3[[#This Row],[No of Products in one Sale]])</f>
        <v>504</v>
      </c>
      <c r="K744" s="6">
        <f ca="1">Table3[[#This Row],[Actual Sale]]*(1-Table3[[#This Row],[Discount]])</f>
        <v>422.2116486596002</v>
      </c>
      <c r="L744" t="str">
        <f>TEXT(Table3[[#This Row],[Sale Date]],"dddd")</f>
        <v>Saturday</v>
      </c>
    </row>
    <row r="745" spans="1:12" x14ac:dyDescent="0.3">
      <c r="A745" t="s">
        <v>768</v>
      </c>
      <c r="B745" t="s">
        <v>52</v>
      </c>
      <c r="C745" s="1">
        <v>44789</v>
      </c>
      <c r="D745" t="s">
        <v>60</v>
      </c>
      <c r="E745" t="s">
        <v>67</v>
      </c>
      <c r="F745">
        <v>65</v>
      </c>
      <c r="G745" t="s">
        <v>2</v>
      </c>
      <c r="H745" s="2">
        <v>12</v>
      </c>
      <c r="I745" s="3">
        <f t="shared" ca="1" si="3"/>
        <v>0.98694307352819499</v>
      </c>
      <c r="J745">
        <f>PRODUCT(Table3[[#This Row],[Price of One Product]],Table3[[#This Row],[No of Products in one Sale]])</f>
        <v>780</v>
      </c>
      <c r="K745" s="6">
        <f ca="1">Table3[[#This Row],[Actual Sale]]*(1-Table3[[#This Row],[Discount]])</f>
        <v>10.184402648007907</v>
      </c>
      <c r="L745" t="str">
        <f>TEXT(Table3[[#This Row],[Sale Date]],"dddd")</f>
        <v>Tuesday</v>
      </c>
    </row>
    <row r="746" spans="1:12" x14ac:dyDescent="0.3">
      <c r="A746" t="s">
        <v>769</v>
      </c>
      <c r="B746" t="s">
        <v>53</v>
      </c>
      <c r="C746" s="1">
        <v>44802</v>
      </c>
      <c r="D746" t="s">
        <v>61</v>
      </c>
      <c r="E746" t="s">
        <v>67</v>
      </c>
      <c r="F746">
        <v>250</v>
      </c>
      <c r="G746" t="s">
        <v>0</v>
      </c>
      <c r="H746" s="2">
        <v>3</v>
      </c>
      <c r="I746" s="3">
        <f t="shared" ca="1" si="3"/>
        <v>0.91310059621013917</v>
      </c>
      <c r="J746">
        <f>PRODUCT(Table3[[#This Row],[Price of One Product]],Table3[[#This Row],[No of Products in one Sale]])</f>
        <v>750</v>
      </c>
      <c r="K746" s="6">
        <f ca="1">Table3[[#This Row],[Actual Sale]]*(1-Table3[[#This Row],[Discount]])</f>
        <v>65.174552842395627</v>
      </c>
      <c r="L746" t="str">
        <f>TEXT(Table3[[#This Row],[Sale Date]],"dddd")</f>
        <v>Monday</v>
      </c>
    </row>
    <row r="747" spans="1:12" x14ac:dyDescent="0.3">
      <c r="A747" t="s">
        <v>770</v>
      </c>
      <c r="B747" t="s">
        <v>54</v>
      </c>
      <c r="C747" s="1">
        <v>44793</v>
      </c>
      <c r="D747" t="s">
        <v>62</v>
      </c>
      <c r="E747" t="s">
        <v>67</v>
      </c>
      <c r="F747">
        <v>130</v>
      </c>
      <c r="G747" t="s">
        <v>1</v>
      </c>
      <c r="H747" s="2">
        <v>4</v>
      </c>
      <c r="I747" s="3">
        <f t="shared" ca="1" si="3"/>
        <v>0.21511608517741143</v>
      </c>
      <c r="J747">
        <f>PRODUCT(Table3[[#This Row],[Price of One Product]],Table3[[#This Row],[No of Products in one Sale]])</f>
        <v>520</v>
      </c>
      <c r="K747" s="6">
        <f ca="1">Table3[[#This Row],[Actual Sale]]*(1-Table3[[#This Row],[Discount]])</f>
        <v>408.13963570774604</v>
      </c>
      <c r="L747" t="str">
        <f>TEXT(Table3[[#This Row],[Sale Date]],"dddd")</f>
        <v>Saturday</v>
      </c>
    </row>
    <row r="748" spans="1:12" x14ac:dyDescent="0.3">
      <c r="A748" t="s">
        <v>771</v>
      </c>
      <c r="B748" t="s">
        <v>55</v>
      </c>
      <c r="C748" s="1">
        <v>44793</v>
      </c>
      <c r="D748" t="s">
        <v>63</v>
      </c>
      <c r="E748" t="s">
        <v>67</v>
      </c>
      <c r="F748">
        <v>60</v>
      </c>
      <c r="G748" t="s">
        <v>2</v>
      </c>
      <c r="H748" s="2">
        <v>8</v>
      </c>
      <c r="I748" s="3">
        <f t="shared" ca="1" si="3"/>
        <v>8.0318944739946496E-2</v>
      </c>
      <c r="J748">
        <f>PRODUCT(Table3[[#This Row],[Price of One Product]],Table3[[#This Row],[No of Products in one Sale]])</f>
        <v>480</v>
      </c>
      <c r="K748" s="6">
        <f ca="1">Table3[[#This Row],[Actual Sale]]*(1-Table3[[#This Row],[Discount]])</f>
        <v>441.44690652482569</v>
      </c>
      <c r="L748" t="str">
        <f>TEXT(Table3[[#This Row],[Sale Date]],"dddd")</f>
        <v>Saturday</v>
      </c>
    </row>
    <row r="749" spans="1:12" x14ac:dyDescent="0.3">
      <c r="A749" t="s">
        <v>772</v>
      </c>
      <c r="B749" t="s">
        <v>56</v>
      </c>
      <c r="C749" s="1">
        <v>44785</v>
      </c>
      <c r="D749" t="s">
        <v>64</v>
      </c>
      <c r="E749" t="s">
        <v>67</v>
      </c>
      <c r="F749">
        <v>95</v>
      </c>
      <c r="G749" t="s">
        <v>0</v>
      </c>
      <c r="H749" s="2">
        <v>3</v>
      </c>
      <c r="I749" s="3">
        <f t="shared" ca="1" si="3"/>
        <v>0.70946818768387532</v>
      </c>
      <c r="J749">
        <f>PRODUCT(Table3[[#This Row],[Price of One Product]],Table3[[#This Row],[No of Products in one Sale]])</f>
        <v>285</v>
      </c>
      <c r="K749" s="6">
        <f ca="1">Table3[[#This Row],[Actual Sale]]*(1-Table3[[#This Row],[Discount]])</f>
        <v>82.80156651009554</v>
      </c>
      <c r="L749" t="str">
        <f>TEXT(Table3[[#This Row],[Sale Date]],"dddd")</f>
        <v>Friday</v>
      </c>
    </row>
    <row r="750" spans="1:12" x14ac:dyDescent="0.3">
      <c r="A750" t="s">
        <v>773</v>
      </c>
      <c r="B750" t="s">
        <v>51</v>
      </c>
      <c r="C750" s="1">
        <v>44778</v>
      </c>
      <c r="D750" t="s">
        <v>59</v>
      </c>
      <c r="E750" t="s">
        <v>67</v>
      </c>
      <c r="F750">
        <v>72</v>
      </c>
      <c r="G750" t="s">
        <v>1</v>
      </c>
      <c r="H750" s="2">
        <v>8</v>
      </c>
      <c r="I750" s="3">
        <f t="shared" ca="1" si="3"/>
        <v>0.79311834404307358</v>
      </c>
      <c r="J750">
        <f>PRODUCT(Table3[[#This Row],[Price of One Product]],Table3[[#This Row],[No of Products in one Sale]])</f>
        <v>576</v>
      </c>
      <c r="K750" s="6">
        <f ca="1">Table3[[#This Row],[Actual Sale]]*(1-Table3[[#This Row],[Discount]])</f>
        <v>119.16383383118962</v>
      </c>
      <c r="L750" t="str">
        <f>TEXT(Table3[[#This Row],[Sale Date]],"dddd")</f>
        <v>Friday</v>
      </c>
    </row>
    <row r="751" spans="1:12" x14ac:dyDescent="0.3">
      <c r="A751" t="s">
        <v>774</v>
      </c>
      <c r="B751" t="s">
        <v>52</v>
      </c>
      <c r="C751" s="1">
        <v>44764</v>
      </c>
      <c r="D751" t="s">
        <v>60</v>
      </c>
      <c r="E751" t="s">
        <v>67</v>
      </c>
      <c r="F751">
        <v>65</v>
      </c>
      <c r="G751" t="s">
        <v>2</v>
      </c>
      <c r="H751" s="2">
        <v>12</v>
      </c>
      <c r="I751" s="3">
        <f t="shared" ca="1" si="3"/>
        <v>0.92302406985323582</v>
      </c>
      <c r="J751">
        <f>PRODUCT(Table3[[#This Row],[Price of One Product]],Table3[[#This Row],[No of Products in one Sale]])</f>
        <v>780</v>
      </c>
      <c r="K751" s="6">
        <f ca="1">Table3[[#This Row],[Actual Sale]]*(1-Table3[[#This Row],[Discount]])</f>
        <v>60.041225514476061</v>
      </c>
      <c r="L751" t="str">
        <f>TEXT(Table3[[#This Row],[Sale Date]],"dddd")</f>
        <v>Friday</v>
      </c>
    </row>
    <row r="752" spans="1:12" x14ac:dyDescent="0.3">
      <c r="A752" t="s">
        <v>775</v>
      </c>
      <c r="B752" t="s">
        <v>53</v>
      </c>
      <c r="C752" s="1">
        <v>44769</v>
      </c>
      <c r="D752" t="s">
        <v>61</v>
      </c>
      <c r="E752" t="s">
        <v>66</v>
      </c>
      <c r="F752">
        <v>250</v>
      </c>
      <c r="G752" t="s">
        <v>0</v>
      </c>
      <c r="H752" s="2">
        <v>3</v>
      </c>
      <c r="I752" s="3">
        <f t="shared" ca="1" si="3"/>
        <v>0.31452434351858427</v>
      </c>
      <c r="J752">
        <f>PRODUCT(Table3[[#This Row],[Price of One Product]],Table3[[#This Row],[No of Products in one Sale]])</f>
        <v>750</v>
      </c>
      <c r="K752" s="6">
        <f ca="1">Table3[[#This Row],[Actual Sale]]*(1-Table3[[#This Row],[Discount]])</f>
        <v>514.10674236106183</v>
      </c>
      <c r="L752" t="str">
        <f>TEXT(Table3[[#This Row],[Sale Date]],"dddd")</f>
        <v>Wednesday</v>
      </c>
    </row>
    <row r="753" spans="1:12" x14ac:dyDescent="0.3">
      <c r="A753" t="s">
        <v>776</v>
      </c>
      <c r="B753" t="s">
        <v>54</v>
      </c>
      <c r="C753" s="1">
        <v>44794</v>
      </c>
      <c r="D753" t="s">
        <v>62</v>
      </c>
      <c r="E753" t="s">
        <v>66</v>
      </c>
      <c r="F753">
        <v>130</v>
      </c>
      <c r="G753" t="s">
        <v>1</v>
      </c>
      <c r="H753" s="2">
        <v>4</v>
      </c>
      <c r="I753" s="3">
        <f t="shared" ca="1" si="3"/>
        <v>0.65773645614248455</v>
      </c>
      <c r="J753">
        <f>PRODUCT(Table3[[#This Row],[Price of One Product]],Table3[[#This Row],[No of Products in one Sale]])</f>
        <v>520</v>
      </c>
      <c r="K753" s="6">
        <f ca="1">Table3[[#This Row],[Actual Sale]]*(1-Table3[[#This Row],[Discount]])</f>
        <v>177.97704280590804</v>
      </c>
      <c r="L753" t="str">
        <f>TEXT(Table3[[#This Row],[Sale Date]],"dddd")</f>
        <v>Sunday</v>
      </c>
    </row>
    <row r="754" spans="1:12" x14ac:dyDescent="0.3">
      <c r="A754" t="s">
        <v>777</v>
      </c>
      <c r="B754" t="s">
        <v>51</v>
      </c>
      <c r="C754" s="1">
        <v>44766</v>
      </c>
      <c r="D754" t="s">
        <v>59</v>
      </c>
      <c r="E754" t="s">
        <v>66</v>
      </c>
      <c r="F754">
        <v>72</v>
      </c>
      <c r="G754" t="s">
        <v>2</v>
      </c>
      <c r="H754" s="2">
        <v>11</v>
      </c>
      <c r="I754" s="3">
        <f t="shared" ca="1" si="3"/>
        <v>0.74447065227529108</v>
      </c>
      <c r="J754">
        <f>PRODUCT(Table3[[#This Row],[Price of One Product]],Table3[[#This Row],[No of Products in one Sale]])</f>
        <v>792</v>
      </c>
      <c r="K754" s="6">
        <f ca="1">Table3[[#This Row],[Actual Sale]]*(1-Table3[[#This Row],[Discount]])</f>
        <v>202.37924339796947</v>
      </c>
      <c r="L754" t="str">
        <f>TEXT(Table3[[#This Row],[Sale Date]],"dddd")</f>
        <v>Sunday</v>
      </c>
    </row>
    <row r="755" spans="1:12" x14ac:dyDescent="0.3">
      <c r="A755" t="s">
        <v>778</v>
      </c>
      <c r="B755" t="s">
        <v>52</v>
      </c>
      <c r="C755" s="1">
        <v>44772</v>
      </c>
      <c r="D755" t="s">
        <v>60</v>
      </c>
      <c r="E755" t="s">
        <v>67</v>
      </c>
      <c r="F755">
        <v>65</v>
      </c>
      <c r="G755" t="s">
        <v>0</v>
      </c>
      <c r="H755" s="2">
        <v>9</v>
      </c>
      <c r="I755" s="3">
        <f t="shared" ca="1" si="3"/>
        <v>0.99455859641714561</v>
      </c>
      <c r="J755">
        <f>PRODUCT(Table3[[#This Row],[Price of One Product]],Table3[[#This Row],[No of Products in one Sale]])</f>
        <v>585</v>
      </c>
      <c r="K755" s="6">
        <f ca="1">Table3[[#This Row],[Actual Sale]]*(1-Table3[[#This Row],[Discount]])</f>
        <v>3.1832210959698166</v>
      </c>
      <c r="L755" t="str">
        <f>TEXT(Table3[[#This Row],[Sale Date]],"dddd")</f>
        <v>Saturday</v>
      </c>
    </row>
    <row r="756" spans="1:12" x14ac:dyDescent="0.3">
      <c r="A756" t="s">
        <v>779</v>
      </c>
      <c r="B756" t="s">
        <v>53</v>
      </c>
      <c r="C756" s="1">
        <v>44787</v>
      </c>
      <c r="D756" t="s">
        <v>61</v>
      </c>
      <c r="E756" t="s">
        <v>67</v>
      </c>
      <c r="F756">
        <v>250</v>
      </c>
      <c r="G756" t="s">
        <v>1</v>
      </c>
      <c r="H756" s="2">
        <v>3</v>
      </c>
      <c r="I756" s="3">
        <f t="shared" ca="1" si="3"/>
        <v>0.49321406876768603</v>
      </c>
      <c r="J756">
        <f>PRODUCT(Table3[[#This Row],[Price of One Product]],Table3[[#This Row],[No of Products in one Sale]])</f>
        <v>750</v>
      </c>
      <c r="K756" s="6">
        <f ca="1">Table3[[#This Row],[Actual Sale]]*(1-Table3[[#This Row],[Discount]])</f>
        <v>380.08944842423546</v>
      </c>
      <c r="L756" t="str">
        <f>TEXT(Table3[[#This Row],[Sale Date]],"dddd")</f>
        <v>Sunday</v>
      </c>
    </row>
    <row r="757" spans="1:12" x14ac:dyDescent="0.3">
      <c r="A757" t="s">
        <v>780</v>
      </c>
      <c r="B757" t="s">
        <v>54</v>
      </c>
      <c r="C757" s="1">
        <v>44755</v>
      </c>
      <c r="D757" t="s">
        <v>62</v>
      </c>
      <c r="E757" t="s">
        <v>67</v>
      </c>
      <c r="F757">
        <v>130</v>
      </c>
      <c r="G757" t="s">
        <v>2</v>
      </c>
      <c r="H757" s="2">
        <v>3</v>
      </c>
      <c r="I757" s="3">
        <f t="shared" ca="1" si="3"/>
        <v>0.62725859332148226</v>
      </c>
      <c r="J757">
        <f>PRODUCT(Table3[[#This Row],[Price of One Product]],Table3[[#This Row],[No of Products in one Sale]])</f>
        <v>390</v>
      </c>
      <c r="K757" s="6">
        <f ca="1">Table3[[#This Row],[Actual Sale]]*(1-Table3[[#This Row],[Discount]])</f>
        <v>145.36914860462193</v>
      </c>
      <c r="L757" t="str">
        <f>TEXT(Table3[[#This Row],[Sale Date]],"dddd")</f>
        <v>Wednesday</v>
      </c>
    </row>
    <row r="758" spans="1:12" x14ac:dyDescent="0.3">
      <c r="A758" t="s">
        <v>781</v>
      </c>
      <c r="B758" t="s">
        <v>55</v>
      </c>
      <c r="C758" s="1">
        <v>44785</v>
      </c>
      <c r="D758" t="s">
        <v>63</v>
      </c>
      <c r="E758" t="s">
        <v>67</v>
      </c>
      <c r="F758">
        <v>60</v>
      </c>
      <c r="G758" t="s">
        <v>0</v>
      </c>
      <c r="H758" s="2">
        <v>13</v>
      </c>
      <c r="I758" s="3">
        <f t="shared" ref="I758:I795" ca="1" si="4">RAND()</f>
        <v>7.0894342853492831E-2</v>
      </c>
      <c r="J758">
        <f>PRODUCT(Table3[[#This Row],[Price of One Product]],Table3[[#This Row],[No of Products in one Sale]])</f>
        <v>780</v>
      </c>
      <c r="K758" s="6">
        <f ca="1">Table3[[#This Row],[Actual Sale]]*(1-Table3[[#This Row],[Discount]])</f>
        <v>724.70241257427563</v>
      </c>
      <c r="L758" t="str">
        <f>TEXT(Table3[[#This Row],[Sale Date]],"dddd")</f>
        <v>Friday</v>
      </c>
    </row>
    <row r="759" spans="1:12" x14ac:dyDescent="0.3">
      <c r="A759" t="s">
        <v>782</v>
      </c>
      <c r="B759" t="s">
        <v>51</v>
      </c>
      <c r="C759" s="1">
        <v>44761</v>
      </c>
      <c r="D759" t="s">
        <v>59</v>
      </c>
      <c r="E759" t="s">
        <v>67</v>
      </c>
      <c r="F759">
        <v>72</v>
      </c>
      <c r="G759" t="s">
        <v>1</v>
      </c>
      <c r="H759" s="2">
        <v>12</v>
      </c>
      <c r="I759" s="3">
        <f t="shared" ca="1" si="4"/>
        <v>0.34884522568645426</v>
      </c>
      <c r="J759">
        <f>PRODUCT(Table3[[#This Row],[Price of One Product]],Table3[[#This Row],[No of Products in one Sale]])</f>
        <v>864</v>
      </c>
      <c r="K759" s="6">
        <f ca="1">Table3[[#This Row],[Actual Sale]]*(1-Table3[[#This Row],[Discount]])</f>
        <v>562.59772500690349</v>
      </c>
      <c r="L759" t="str">
        <f>TEXT(Table3[[#This Row],[Sale Date]],"dddd")</f>
        <v>Tuesday</v>
      </c>
    </row>
    <row r="760" spans="1:12" x14ac:dyDescent="0.3">
      <c r="A760" t="s">
        <v>783</v>
      </c>
      <c r="B760" t="s">
        <v>52</v>
      </c>
      <c r="C760" s="1">
        <v>44770</v>
      </c>
      <c r="D760" t="s">
        <v>60</v>
      </c>
      <c r="E760" t="s">
        <v>67</v>
      </c>
      <c r="F760">
        <v>65</v>
      </c>
      <c r="G760" t="s">
        <v>2</v>
      </c>
      <c r="H760" s="2">
        <v>5</v>
      </c>
      <c r="I760" s="3">
        <f t="shared" ca="1" si="4"/>
        <v>0.64679868078845493</v>
      </c>
      <c r="J760">
        <f>PRODUCT(Table3[[#This Row],[Price of One Product]],Table3[[#This Row],[No of Products in one Sale]])</f>
        <v>325</v>
      </c>
      <c r="K760" s="6">
        <f ca="1">Table3[[#This Row],[Actual Sale]]*(1-Table3[[#This Row],[Discount]])</f>
        <v>114.79042874375214</v>
      </c>
      <c r="L760" t="str">
        <f>TEXT(Table3[[#This Row],[Sale Date]],"dddd")</f>
        <v>Thursday</v>
      </c>
    </row>
    <row r="761" spans="1:12" x14ac:dyDescent="0.3">
      <c r="A761" t="s">
        <v>784</v>
      </c>
      <c r="B761" t="s">
        <v>53</v>
      </c>
      <c r="C761" s="1">
        <v>44769</v>
      </c>
      <c r="D761" t="s">
        <v>61</v>
      </c>
      <c r="E761" t="s">
        <v>66</v>
      </c>
      <c r="F761">
        <v>250</v>
      </c>
      <c r="G761" t="s">
        <v>0</v>
      </c>
      <c r="H761" s="2">
        <v>3</v>
      </c>
      <c r="I761" s="3">
        <f t="shared" ca="1" si="4"/>
        <v>0.72189491359451696</v>
      </c>
      <c r="J761">
        <f>PRODUCT(Table3[[#This Row],[Price of One Product]],Table3[[#This Row],[No of Products in one Sale]])</f>
        <v>750</v>
      </c>
      <c r="K761" s="6">
        <f ca="1">Table3[[#This Row],[Actual Sale]]*(1-Table3[[#This Row],[Discount]])</f>
        <v>208.57881480411228</v>
      </c>
      <c r="L761" t="str">
        <f>TEXT(Table3[[#This Row],[Sale Date]],"dddd")</f>
        <v>Wednesday</v>
      </c>
    </row>
    <row r="762" spans="1:12" x14ac:dyDescent="0.3">
      <c r="A762" t="s">
        <v>785</v>
      </c>
      <c r="B762" t="s">
        <v>54</v>
      </c>
      <c r="C762" s="1">
        <v>44785</v>
      </c>
      <c r="D762" t="s">
        <v>62</v>
      </c>
      <c r="E762" t="s">
        <v>67</v>
      </c>
      <c r="F762">
        <v>130</v>
      </c>
      <c r="G762" t="s">
        <v>1</v>
      </c>
      <c r="H762" s="2">
        <v>5</v>
      </c>
      <c r="I762" s="3">
        <f t="shared" ca="1" si="4"/>
        <v>0.52749414110398662</v>
      </c>
      <c r="J762">
        <f>PRODUCT(Table3[[#This Row],[Price of One Product]],Table3[[#This Row],[No of Products in one Sale]])</f>
        <v>650</v>
      </c>
      <c r="K762" s="6">
        <f ca="1">Table3[[#This Row],[Actual Sale]]*(1-Table3[[#This Row],[Discount]])</f>
        <v>307.12880828240867</v>
      </c>
      <c r="L762" t="str">
        <f>TEXT(Table3[[#This Row],[Sale Date]],"dddd")</f>
        <v>Friday</v>
      </c>
    </row>
    <row r="763" spans="1:12" x14ac:dyDescent="0.3">
      <c r="A763" t="s">
        <v>786</v>
      </c>
      <c r="B763" t="s">
        <v>51</v>
      </c>
      <c r="C763" s="1">
        <v>44771</v>
      </c>
      <c r="D763" t="s">
        <v>59</v>
      </c>
      <c r="E763" t="s">
        <v>66</v>
      </c>
      <c r="F763">
        <v>72</v>
      </c>
      <c r="G763" t="s">
        <v>2</v>
      </c>
      <c r="H763" s="2">
        <v>8</v>
      </c>
      <c r="I763" s="3">
        <f t="shared" ca="1" si="4"/>
        <v>0.6228927700463831</v>
      </c>
      <c r="J763">
        <f>PRODUCT(Table3[[#This Row],[Price of One Product]],Table3[[#This Row],[No of Products in one Sale]])</f>
        <v>576</v>
      </c>
      <c r="K763" s="6">
        <f ca="1">Table3[[#This Row],[Actual Sale]]*(1-Table3[[#This Row],[Discount]])</f>
        <v>217.21376445328332</v>
      </c>
      <c r="L763" t="str">
        <f>TEXT(Table3[[#This Row],[Sale Date]],"dddd")</f>
        <v>Friday</v>
      </c>
    </row>
    <row r="764" spans="1:12" x14ac:dyDescent="0.3">
      <c r="A764" t="s">
        <v>787</v>
      </c>
      <c r="B764" t="s">
        <v>52</v>
      </c>
      <c r="C764" s="1">
        <v>44776</v>
      </c>
      <c r="D764" t="s">
        <v>60</v>
      </c>
      <c r="E764" t="s">
        <v>67</v>
      </c>
      <c r="F764">
        <v>65</v>
      </c>
      <c r="G764" t="s">
        <v>0</v>
      </c>
      <c r="H764" s="2">
        <v>4</v>
      </c>
      <c r="I764" s="3">
        <f t="shared" ca="1" si="4"/>
        <v>0.99668300335253612</v>
      </c>
      <c r="J764">
        <f>PRODUCT(Table3[[#This Row],[Price of One Product]],Table3[[#This Row],[No of Products in one Sale]])</f>
        <v>260</v>
      </c>
      <c r="K764" s="6">
        <f ca="1">Table3[[#This Row],[Actual Sale]]*(1-Table3[[#This Row],[Discount]])</f>
        <v>0.86241912834060797</v>
      </c>
      <c r="L764" t="str">
        <f>TEXT(Table3[[#This Row],[Sale Date]],"dddd")</f>
        <v>Wednesday</v>
      </c>
    </row>
    <row r="765" spans="1:12" x14ac:dyDescent="0.3">
      <c r="A765" t="s">
        <v>788</v>
      </c>
      <c r="B765" t="s">
        <v>53</v>
      </c>
      <c r="C765" s="1">
        <v>44782</v>
      </c>
      <c r="D765" t="s">
        <v>61</v>
      </c>
      <c r="E765" t="s">
        <v>66</v>
      </c>
      <c r="F765">
        <v>250</v>
      </c>
      <c r="G765" t="s">
        <v>1</v>
      </c>
      <c r="H765" s="2">
        <v>3</v>
      </c>
      <c r="I765" s="3">
        <f t="shared" ca="1" si="4"/>
        <v>0.46455013096864972</v>
      </c>
      <c r="J765">
        <f>PRODUCT(Table3[[#This Row],[Price of One Product]],Table3[[#This Row],[No of Products in one Sale]])</f>
        <v>750</v>
      </c>
      <c r="K765" s="6">
        <f ca="1">Table3[[#This Row],[Actual Sale]]*(1-Table3[[#This Row],[Discount]])</f>
        <v>401.58740177351268</v>
      </c>
      <c r="L765" t="str">
        <f>TEXT(Table3[[#This Row],[Sale Date]],"dddd")</f>
        <v>Tuesday</v>
      </c>
    </row>
    <row r="766" spans="1:12" x14ac:dyDescent="0.3">
      <c r="A766" t="s">
        <v>789</v>
      </c>
      <c r="B766" t="s">
        <v>54</v>
      </c>
      <c r="C766" s="1">
        <v>44765</v>
      </c>
      <c r="D766" t="s">
        <v>62</v>
      </c>
      <c r="E766" t="s">
        <v>67</v>
      </c>
      <c r="F766">
        <v>130</v>
      </c>
      <c r="G766" t="s">
        <v>2</v>
      </c>
      <c r="H766" s="2">
        <v>7</v>
      </c>
      <c r="I766" s="3">
        <f t="shared" ca="1" si="4"/>
        <v>0.88804401504648822</v>
      </c>
      <c r="J766">
        <f>PRODUCT(Table3[[#This Row],[Price of One Product]],Table3[[#This Row],[No of Products in one Sale]])</f>
        <v>910</v>
      </c>
      <c r="K766" s="6">
        <f ca="1">Table3[[#This Row],[Actual Sale]]*(1-Table3[[#This Row],[Discount]])</f>
        <v>101.87994630769572</v>
      </c>
      <c r="L766" t="str">
        <f>TEXT(Table3[[#This Row],[Sale Date]],"dddd")</f>
        <v>Saturday</v>
      </c>
    </row>
    <row r="767" spans="1:12" x14ac:dyDescent="0.3">
      <c r="A767" t="s">
        <v>790</v>
      </c>
      <c r="B767" t="s">
        <v>55</v>
      </c>
      <c r="C767" s="1">
        <v>44778</v>
      </c>
      <c r="D767" t="s">
        <v>63</v>
      </c>
      <c r="E767" t="s">
        <v>66</v>
      </c>
      <c r="F767">
        <v>60</v>
      </c>
      <c r="G767" t="s">
        <v>0</v>
      </c>
      <c r="H767" s="2">
        <v>7</v>
      </c>
      <c r="I767" s="3">
        <f t="shared" ca="1" si="4"/>
        <v>0.13317225113868247</v>
      </c>
      <c r="J767">
        <f>PRODUCT(Table3[[#This Row],[Price of One Product]],Table3[[#This Row],[No of Products in one Sale]])</f>
        <v>420</v>
      </c>
      <c r="K767" s="6">
        <f ca="1">Table3[[#This Row],[Actual Sale]]*(1-Table3[[#This Row],[Discount]])</f>
        <v>364.06765452175335</v>
      </c>
      <c r="L767" t="str">
        <f>TEXT(Table3[[#This Row],[Sale Date]],"dddd")</f>
        <v>Friday</v>
      </c>
    </row>
    <row r="768" spans="1:12" x14ac:dyDescent="0.3">
      <c r="A768" t="s">
        <v>791</v>
      </c>
      <c r="B768" t="s">
        <v>56</v>
      </c>
      <c r="C768" s="1">
        <v>44774</v>
      </c>
      <c r="D768" t="s">
        <v>64</v>
      </c>
      <c r="E768" t="s">
        <v>67</v>
      </c>
      <c r="F768">
        <v>95</v>
      </c>
      <c r="G768" t="s">
        <v>1</v>
      </c>
      <c r="H768" s="2">
        <v>7</v>
      </c>
      <c r="I768" s="3">
        <f t="shared" ca="1" si="4"/>
        <v>0.45908540543694443</v>
      </c>
      <c r="J768">
        <f>PRODUCT(Table3[[#This Row],[Price of One Product]],Table3[[#This Row],[No of Products in one Sale]])</f>
        <v>665</v>
      </c>
      <c r="K768" s="6">
        <f ca="1">Table3[[#This Row],[Actual Sale]]*(1-Table3[[#This Row],[Discount]])</f>
        <v>359.70820538443195</v>
      </c>
      <c r="L768" t="str">
        <f>TEXT(Table3[[#This Row],[Sale Date]],"dddd")</f>
        <v>Monday</v>
      </c>
    </row>
    <row r="769" spans="1:12" x14ac:dyDescent="0.3">
      <c r="A769" t="s">
        <v>792</v>
      </c>
      <c r="B769" t="s">
        <v>51</v>
      </c>
      <c r="C769" s="1">
        <v>44803</v>
      </c>
      <c r="D769" t="s">
        <v>59</v>
      </c>
      <c r="E769" t="s">
        <v>66</v>
      </c>
      <c r="F769">
        <v>72</v>
      </c>
      <c r="G769" t="s">
        <v>2</v>
      </c>
      <c r="H769" s="2">
        <v>5</v>
      </c>
      <c r="I769" s="3">
        <f t="shared" ca="1" si="4"/>
        <v>0.97803287390686</v>
      </c>
      <c r="J769">
        <f>PRODUCT(Table3[[#This Row],[Price of One Product]],Table3[[#This Row],[No of Products in one Sale]])</f>
        <v>360</v>
      </c>
      <c r="K769" s="6">
        <f ca="1">Table3[[#This Row],[Actual Sale]]*(1-Table3[[#This Row],[Discount]])</f>
        <v>7.9081653935303997</v>
      </c>
      <c r="L769" t="str">
        <f>TEXT(Table3[[#This Row],[Sale Date]],"dddd")</f>
        <v>Tuesday</v>
      </c>
    </row>
    <row r="770" spans="1:12" x14ac:dyDescent="0.3">
      <c r="A770" t="s">
        <v>793</v>
      </c>
      <c r="B770" t="s">
        <v>52</v>
      </c>
      <c r="C770" s="1">
        <v>44782</v>
      </c>
      <c r="D770" t="s">
        <v>60</v>
      </c>
      <c r="E770" t="s">
        <v>67</v>
      </c>
      <c r="F770">
        <v>65</v>
      </c>
      <c r="G770" t="s">
        <v>0</v>
      </c>
      <c r="H770" s="2">
        <v>6</v>
      </c>
      <c r="I770" s="3">
        <f t="shared" ca="1" si="4"/>
        <v>5.6331591779724577E-2</v>
      </c>
      <c r="J770">
        <f>PRODUCT(Table3[[#This Row],[Price of One Product]],Table3[[#This Row],[No of Products in one Sale]])</f>
        <v>390</v>
      </c>
      <c r="K770" s="6">
        <f ca="1">Table3[[#This Row],[Actual Sale]]*(1-Table3[[#This Row],[Discount]])</f>
        <v>368.0306792059074</v>
      </c>
      <c r="L770" t="str">
        <f>TEXT(Table3[[#This Row],[Sale Date]],"dddd")</f>
        <v>Tuesday</v>
      </c>
    </row>
    <row r="771" spans="1:12" x14ac:dyDescent="0.3">
      <c r="A771" t="s">
        <v>794</v>
      </c>
      <c r="B771" t="s">
        <v>53</v>
      </c>
      <c r="C771" s="1">
        <v>44774</v>
      </c>
      <c r="D771" t="s">
        <v>61</v>
      </c>
      <c r="E771" t="s">
        <v>66</v>
      </c>
      <c r="F771">
        <v>250</v>
      </c>
      <c r="G771" t="s">
        <v>1</v>
      </c>
      <c r="H771" s="2">
        <v>2</v>
      </c>
      <c r="I771" s="3">
        <f t="shared" ca="1" si="4"/>
        <v>0.77003757370066217</v>
      </c>
      <c r="J771">
        <f>PRODUCT(Table3[[#This Row],[Price of One Product]],Table3[[#This Row],[No of Products in one Sale]])</f>
        <v>500</v>
      </c>
      <c r="K771" s="6">
        <f ca="1">Table3[[#This Row],[Actual Sale]]*(1-Table3[[#This Row],[Discount]])</f>
        <v>114.98121314966892</v>
      </c>
      <c r="L771" t="str">
        <f>TEXT(Table3[[#This Row],[Sale Date]],"dddd")</f>
        <v>Monday</v>
      </c>
    </row>
    <row r="772" spans="1:12" x14ac:dyDescent="0.3">
      <c r="A772" t="s">
        <v>795</v>
      </c>
      <c r="B772" t="s">
        <v>54</v>
      </c>
      <c r="C772" s="1">
        <v>44790</v>
      </c>
      <c r="D772" t="s">
        <v>62</v>
      </c>
      <c r="E772" t="s">
        <v>67</v>
      </c>
      <c r="F772">
        <v>130</v>
      </c>
      <c r="G772" t="s">
        <v>2</v>
      </c>
      <c r="H772" s="2">
        <v>2</v>
      </c>
      <c r="I772" s="3">
        <f t="shared" ca="1" si="4"/>
        <v>0.73201452980010062</v>
      </c>
      <c r="J772">
        <f>PRODUCT(Table3[[#This Row],[Price of One Product]],Table3[[#This Row],[No of Products in one Sale]])</f>
        <v>260</v>
      </c>
      <c r="K772" s="6">
        <f ca="1">Table3[[#This Row],[Actual Sale]]*(1-Table3[[#This Row],[Discount]])</f>
        <v>69.67622225197384</v>
      </c>
      <c r="L772" t="str">
        <f>TEXT(Table3[[#This Row],[Sale Date]],"dddd")</f>
        <v>Wednesday</v>
      </c>
    </row>
    <row r="773" spans="1:12" x14ac:dyDescent="0.3">
      <c r="A773" t="s">
        <v>796</v>
      </c>
      <c r="B773" t="s">
        <v>51</v>
      </c>
      <c r="C773" s="1">
        <v>44790</v>
      </c>
      <c r="D773" t="s">
        <v>59</v>
      </c>
      <c r="E773" t="s">
        <v>66</v>
      </c>
      <c r="F773">
        <v>72</v>
      </c>
      <c r="G773" t="s">
        <v>0</v>
      </c>
      <c r="H773" s="2">
        <v>4</v>
      </c>
      <c r="I773" s="3">
        <f t="shared" ca="1" si="4"/>
        <v>0.56491267371804577</v>
      </c>
      <c r="J773">
        <f>PRODUCT(Table3[[#This Row],[Price of One Product]],Table3[[#This Row],[No of Products in one Sale]])</f>
        <v>288</v>
      </c>
      <c r="K773" s="6">
        <f ca="1">Table3[[#This Row],[Actual Sale]]*(1-Table3[[#This Row],[Discount]])</f>
        <v>125.30514996920282</v>
      </c>
      <c r="L773" t="str">
        <f>TEXT(Table3[[#This Row],[Sale Date]],"dddd")</f>
        <v>Wednesday</v>
      </c>
    </row>
    <row r="774" spans="1:12" x14ac:dyDescent="0.3">
      <c r="A774" t="s">
        <v>797</v>
      </c>
      <c r="B774" t="s">
        <v>52</v>
      </c>
      <c r="C774" s="1">
        <v>44757</v>
      </c>
      <c r="D774" t="s">
        <v>60</v>
      </c>
      <c r="E774" t="s">
        <v>67</v>
      </c>
      <c r="F774">
        <v>65</v>
      </c>
      <c r="G774" t="s">
        <v>1</v>
      </c>
      <c r="H774" s="2">
        <v>10</v>
      </c>
      <c r="I774" s="3">
        <f t="shared" ca="1" si="4"/>
        <v>0.7804264501727034</v>
      </c>
      <c r="J774">
        <f>PRODUCT(Table3[[#This Row],[Price of One Product]],Table3[[#This Row],[No of Products in one Sale]])</f>
        <v>650</v>
      </c>
      <c r="K774" s="6">
        <f ca="1">Table3[[#This Row],[Actual Sale]]*(1-Table3[[#This Row],[Discount]])</f>
        <v>142.72280738774279</v>
      </c>
      <c r="L774" t="str">
        <f>TEXT(Table3[[#This Row],[Sale Date]],"dddd")</f>
        <v>Friday</v>
      </c>
    </row>
    <row r="775" spans="1:12" x14ac:dyDescent="0.3">
      <c r="A775" t="s">
        <v>798</v>
      </c>
      <c r="B775" t="s">
        <v>53</v>
      </c>
      <c r="C775" s="1">
        <v>44778</v>
      </c>
      <c r="D775" t="s">
        <v>61</v>
      </c>
      <c r="E775" t="s">
        <v>66</v>
      </c>
      <c r="F775">
        <v>250</v>
      </c>
      <c r="G775" t="s">
        <v>2</v>
      </c>
      <c r="H775" s="2">
        <v>1</v>
      </c>
      <c r="I775" s="3">
        <f t="shared" ca="1" si="4"/>
        <v>0.13784912263646842</v>
      </c>
      <c r="J775">
        <f>PRODUCT(Table3[[#This Row],[Price of One Product]],Table3[[#This Row],[No of Products in one Sale]])</f>
        <v>250</v>
      </c>
      <c r="K775" s="6">
        <f ca="1">Table3[[#This Row],[Actual Sale]]*(1-Table3[[#This Row],[Discount]])</f>
        <v>215.53771934088289</v>
      </c>
      <c r="L775" t="str">
        <f>TEXT(Table3[[#This Row],[Sale Date]],"dddd")</f>
        <v>Friday</v>
      </c>
    </row>
    <row r="776" spans="1:12" x14ac:dyDescent="0.3">
      <c r="A776" t="s">
        <v>799</v>
      </c>
      <c r="B776" t="s">
        <v>54</v>
      </c>
      <c r="C776" s="1">
        <v>44795</v>
      </c>
      <c r="D776" t="s">
        <v>59</v>
      </c>
      <c r="E776" t="s">
        <v>67</v>
      </c>
      <c r="F776">
        <v>72</v>
      </c>
      <c r="G776" t="s">
        <v>0</v>
      </c>
      <c r="H776" s="2">
        <v>12</v>
      </c>
      <c r="I776" s="3">
        <f t="shared" ca="1" si="4"/>
        <v>0.89198550792819287</v>
      </c>
      <c r="J776">
        <f>PRODUCT(Table3[[#This Row],[Price of One Product]],Table3[[#This Row],[No of Products in one Sale]])</f>
        <v>864</v>
      </c>
      <c r="K776" s="6">
        <f ca="1">Table3[[#This Row],[Actual Sale]]*(1-Table3[[#This Row],[Discount]])</f>
        <v>93.324521150041363</v>
      </c>
      <c r="L776" t="str">
        <f>TEXT(Table3[[#This Row],[Sale Date]],"dddd")</f>
        <v>Monday</v>
      </c>
    </row>
    <row r="777" spans="1:12" x14ac:dyDescent="0.3">
      <c r="A777" t="s">
        <v>800</v>
      </c>
      <c r="B777" t="s">
        <v>51</v>
      </c>
      <c r="C777" s="1">
        <v>44800</v>
      </c>
      <c r="D777" t="s">
        <v>60</v>
      </c>
      <c r="E777" t="s">
        <v>66</v>
      </c>
      <c r="F777">
        <v>65</v>
      </c>
      <c r="G777" t="s">
        <v>0</v>
      </c>
      <c r="H777" s="2">
        <v>11</v>
      </c>
      <c r="I777" s="3">
        <f t="shared" ca="1" si="4"/>
        <v>0.46452443545615552</v>
      </c>
      <c r="J777">
        <f>PRODUCT(Table3[[#This Row],[Price of One Product]],Table3[[#This Row],[No of Products in one Sale]])</f>
        <v>715</v>
      </c>
      <c r="K777" s="6">
        <f ca="1">Table3[[#This Row],[Actual Sale]]*(1-Table3[[#This Row],[Discount]])</f>
        <v>382.86502864884881</v>
      </c>
      <c r="L777" t="str">
        <f>TEXT(Table3[[#This Row],[Sale Date]],"dddd")</f>
        <v>Saturday</v>
      </c>
    </row>
    <row r="778" spans="1:12" x14ac:dyDescent="0.3">
      <c r="A778" t="s">
        <v>801</v>
      </c>
      <c r="B778" t="s">
        <v>52</v>
      </c>
      <c r="C778" s="1">
        <v>44783</v>
      </c>
      <c r="D778" t="s">
        <v>61</v>
      </c>
      <c r="E778" t="s">
        <v>67</v>
      </c>
      <c r="F778">
        <v>250</v>
      </c>
      <c r="G778" t="s">
        <v>1</v>
      </c>
      <c r="H778" s="2">
        <v>2</v>
      </c>
      <c r="I778" s="3">
        <f t="shared" ca="1" si="4"/>
        <v>0.35868370906310842</v>
      </c>
      <c r="J778">
        <f>PRODUCT(Table3[[#This Row],[Price of One Product]],Table3[[#This Row],[No of Products in one Sale]])</f>
        <v>500</v>
      </c>
      <c r="K778" s="6">
        <f ca="1">Table3[[#This Row],[Actual Sale]]*(1-Table3[[#This Row],[Discount]])</f>
        <v>320.65814546844581</v>
      </c>
      <c r="L778" t="str">
        <f>TEXT(Table3[[#This Row],[Sale Date]],"dddd")</f>
        <v>Wednesday</v>
      </c>
    </row>
    <row r="779" spans="1:12" x14ac:dyDescent="0.3">
      <c r="A779" t="s">
        <v>802</v>
      </c>
      <c r="B779" t="s">
        <v>53</v>
      </c>
      <c r="C779" s="1">
        <v>44770</v>
      </c>
      <c r="D779" t="s">
        <v>62</v>
      </c>
      <c r="E779" t="s">
        <v>67</v>
      </c>
      <c r="F779">
        <v>130</v>
      </c>
      <c r="G779" t="s">
        <v>2</v>
      </c>
      <c r="H779" s="2">
        <v>7</v>
      </c>
      <c r="I779" s="3">
        <f t="shared" ca="1" si="4"/>
        <v>0.28939691520370048</v>
      </c>
      <c r="J779">
        <f>PRODUCT(Table3[[#This Row],[Price of One Product]],Table3[[#This Row],[No of Products in one Sale]])</f>
        <v>910</v>
      </c>
      <c r="K779" s="6">
        <f ca="1">Table3[[#This Row],[Actual Sale]]*(1-Table3[[#This Row],[Discount]])</f>
        <v>646.64880716463256</v>
      </c>
      <c r="L779" t="str">
        <f>TEXT(Table3[[#This Row],[Sale Date]],"dddd")</f>
        <v>Thursday</v>
      </c>
    </row>
    <row r="780" spans="1:12" x14ac:dyDescent="0.3">
      <c r="A780" t="s">
        <v>803</v>
      </c>
      <c r="B780" t="s">
        <v>54</v>
      </c>
      <c r="C780" s="1">
        <v>44764</v>
      </c>
      <c r="D780" t="s">
        <v>59</v>
      </c>
      <c r="E780" t="s">
        <v>67</v>
      </c>
      <c r="F780">
        <v>72</v>
      </c>
      <c r="G780" t="s">
        <v>0</v>
      </c>
      <c r="H780" s="2">
        <v>6</v>
      </c>
      <c r="I780" s="3">
        <f t="shared" ca="1" si="4"/>
        <v>0.72182479001712618</v>
      </c>
      <c r="J780">
        <f>PRODUCT(Table3[[#This Row],[Price of One Product]],Table3[[#This Row],[No of Products in one Sale]])</f>
        <v>432</v>
      </c>
      <c r="K780" s="6">
        <f ca="1">Table3[[#This Row],[Actual Sale]]*(1-Table3[[#This Row],[Discount]])</f>
        <v>120.17169071260149</v>
      </c>
      <c r="L780" t="str">
        <f>TEXT(Table3[[#This Row],[Sale Date]],"dddd")</f>
        <v>Friday</v>
      </c>
    </row>
    <row r="781" spans="1:12" x14ac:dyDescent="0.3">
      <c r="A781" t="s">
        <v>804</v>
      </c>
      <c r="B781" t="s">
        <v>51</v>
      </c>
      <c r="C781" s="1">
        <v>44810</v>
      </c>
      <c r="D781" t="s">
        <v>60</v>
      </c>
      <c r="E781" t="s">
        <v>67</v>
      </c>
      <c r="F781">
        <v>65</v>
      </c>
      <c r="G781" t="s">
        <v>1</v>
      </c>
      <c r="H781" s="2">
        <v>4</v>
      </c>
      <c r="I781" s="3">
        <f t="shared" ca="1" si="4"/>
        <v>0.64128547997554741</v>
      </c>
      <c r="J781">
        <f>PRODUCT(Table3[[#This Row],[Price of One Product]],Table3[[#This Row],[No of Products in one Sale]])</f>
        <v>260</v>
      </c>
      <c r="K781" s="6">
        <f ca="1">Table3[[#This Row],[Actual Sale]]*(1-Table3[[#This Row],[Discount]])</f>
        <v>93.265775206357674</v>
      </c>
      <c r="L781" t="str">
        <f>TEXT(Table3[[#This Row],[Sale Date]],"dddd")</f>
        <v>Tuesday</v>
      </c>
    </row>
    <row r="782" spans="1:12" x14ac:dyDescent="0.3">
      <c r="A782" t="s">
        <v>805</v>
      </c>
      <c r="B782" t="s">
        <v>52</v>
      </c>
      <c r="C782" s="1">
        <v>44793</v>
      </c>
      <c r="D782" t="s">
        <v>61</v>
      </c>
      <c r="E782" t="s">
        <v>67</v>
      </c>
      <c r="F782">
        <v>250</v>
      </c>
      <c r="G782" t="s">
        <v>2</v>
      </c>
      <c r="H782" s="2">
        <v>2</v>
      </c>
      <c r="I782" s="3">
        <f t="shared" ca="1" si="4"/>
        <v>0.16300222367053385</v>
      </c>
      <c r="J782">
        <f>PRODUCT(Table3[[#This Row],[Price of One Product]],Table3[[#This Row],[No of Products in one Sale]])</f>
        <v>500</v>
      </c>
      <c r="K782" s="6">
        <f ca="1">Table3[[#This Row],[Actual Sale]]*(1-Table3[[#This Row],[Discount]])</f>
        <v>418.49888816473305</v>
      </c>
      <c r="L782" t="str">
        <f>TEXT(Table3[[#This Row],[Sale Date]],"dddd")</f>
        <v>Saturday</v>
      </c>
    </row>
    <row r="783" spans="1:12" x14ac:dyDescent="0.3">
      <c r="A783" t="s">
        <v>806</v>
      </c>
      <c r="B783" t="s">
        <v>53</v>
      </c>
      <c r="C783" s="1">
        <v>44787</v>
      </c>
      <c r="D783" t="s">
        <v>62</v>
      </c>
      <c r="E783" t="s">
        <v>66</v>
      </c>
      <c r="F783">
        <v>130</v>
      </c>
      <c r="G783" t="s">
        <v>0</v>
      </c>
      <c r="H783" s="2">
        <v>4</v>
      </c>
      <c r="I783" s="3">
        <f t="shared" ca="1" si="4"/>
        <v>0.99870619251087289</v>
      </c>
      <c r="J783">
        <f>PRODUCT(Table3[[#This Row],[Price of One Product]],Table3[[#This Row],[No of Products in one Sale]])</f>
        <v>520</v>
      </c>
      <c r="K783" s="6">
        <f ca="1">Table3[[#This Row],[Actual Sale]]*(1-Table3[[#This Row],[Discount]])</f>
        <v>0.67277989434609609</v>
      </c>
      <c r="L783" t="str">
        <f>TEXT(Table3[[#This Row],[Sale Date]],"dddd")</f>
        <v>Sunday</v>
      </c>
    </row>
    <row r="784" spans="1:12" x14ac:dyDescent="0.3">
      <c r="A784" t="s">
        <v>807</v>
      </c>
      <c r="B784" t="s">
        <v>54</v>
      </c>
      <c r="C784" s="1">
        <v>44774</v>
      </c>
      <c r="D784" t="s">
        <v>63</v>
      </c>
      <c r="E784" t="s">
        <v>67</v>
      </c>
      <c r="F784">
        <v>60</v>
      </c>
      <c r="G784" t="s">
        <v>1</v>
      </c>
      <c r="H784" s="2">
        <v>8</v>
      </c>
      <c r="I784" s="3">
        <f t="shared" ca="1" si="4"/>
        <v>0.52050410162214544</v>
      </c>
      <c r="J784">
        <f>PRODUCT(Table3[[#This Row],[Price of One Product]],Table3[[#This Row],[No of Products in one Sale]])</f>
        <v>480</v>
      </c>
      <c r="K784" s="6">
        <f ca="1">Table3[[#This Row],[Actual Sale]]*(1-Table3[[#This Row],[Discount]])</f>
        <v>230.15803122137018</v>
      </c>
      <c r="L784" t="str">
        <f>TEXT(Table3[[#This Row],[Sale Date]],"dddd")</f>
        <v>Monday</v>
      </c>
    </row>
    <row r="785" spans="1:12" x14ac:dyDescent="0.3">
      <c r="A785" t="s">
        <v>808</v>
      </c>
      <c r="B785" t="s">
        <v>55</v>
      </c>
      <c r="C785" s="1">
        <v>44756</v>
      </c>
      <c r="D785" t="s">
        <v>59</v>
      </c>
      <c r="E785" t="s">
        <v>66</v>
      </c>
      <c r="F785">
        <v>72</v>
      </c>
      <c r="G785" t="s">
        <v>2</v>
      </c>
      <c r="H785" s="2">
        <v>4</v>
      </c>
      <c r="I785" s="3">
        <f t="shared" ca="1" si="4"/>
        <v>0.7614601200904022</v>
      </c>
      <c r="J785">
        <f>PRODUCT(Table3[[#This Row],[Price of One Product]],Table3[[#This Row],[No of Products in one Sale]])</f>
        <v>288</v>
      </c>
      <c r="K785" s="6">
        <f ca="1">Table3[[#This Row],[Actual Sale]]*(1-Table3[[#This Row],[Discount]])</f>
        <v>68.699485413964169</v>
      </c>
      <c r="L785" t="str">
        <f>TEXT(Table3[[#This Row],[Sale Date]],"dddd")</f>
        <v>Thursday</v>
      </c>
    </row>
    <row r="786" spans="1:12" x14ac:dyDescent="0.3">
      <c r="A786" t="s">
        <v>809</v>
      </c>
      <c r="B786" t="s">
        <v>51</v>
      </c>
      <c r="C786" s="1">
        <v>44810</v>
      </c>
      <c r="D786" t="s">
        <v>60</v>
      </c>
      <c r="E786" t="s">
        <v>67</v>
      </c>
      <c r="F786">
        <v>65</v>
      </c>
      <c r="G786" t="s">
        <v>0</v>
      </c>
      <c r="H786" s="2">
        <v>5</v>
      </c>
      <c r="I786" s="3">
        <f t="shared" ca="1" si="4"/>
        <v>0.11973187913255867</v>
      </c>
      <c r="J786">
        <f>PRODUCT(Table3[[#This Row],[Price of One Product]],Table3[[#This Row],[No of Products in one Sale]])</f>
        <v>325</v>
      </c>
      <c r="K786" s="6">
        <f ca="1">Table3[[#This Row],[Actual Sale]]*(1-Table3[[#This Row],[Discount]])</f>
        <v>286.08713928191844</v>
      </c>
      <c r="L786" t="str">
        <f>TEXT(Table3[[#This Row],[Sale Date]],"dddd")</f>
        <v>Tuesday</v>
      </c>
    </row>
    <row r="787" spans="1:12" x14ac:dyDescent="0.3">
      <c r="A787" t="s">
        <v>810</v>
      </c>
      <c r="B787" t="s">
        <v>52</v>
      </c>
      <c r="C787" s="1">
        <v>44774</v>
      </c>
      <c r="D787" t="s">
        <v>61</v>
      </c>
      <c r="E787" t="s">
        <v>66</v>
      </c>
      <c r="F787">
        <v>250</v>
      </c>
      <c r="G787" t="s">
        <v>1</v>
      </c>
      <c r="H787" s="2">
        <v>3</v>
      </c>
      <c r="I787" s="3">
        <f t="shared" ca="1" si="4"/>
        <v>4.4410200514043097E-2</v>
      </c>
      <c r="J787">
        <f>PRODUCT(Table3[[#This Row],[Price of One Product]],Table3[[#This Row],[No of Products in one Sale]])</f>
        <v>750</v>
      </c>
      <c r="K787" s="6">
        <f ca="1">Table3[[#This Row],[Actual Sale]]*(1-Table3[[#This Row],[Discount]])</f>
        <v>716.69234961446773</v>
      </c>
      <c r="L787" t="str">
        <f>TEXT(Table3[[#This Row],[Sale Date]],"dddd")</f>
        <v>Monday</v>
      </c>
    </row>
    <row r="788" spans="1:12" x14ac:dyDescent="0.3">
      <c r="A788" t="s">
        <v>811</v>
      </c>
      <c r="B788" t="s">
        <v>53</v>
      </c>
      <c r="C788" s="1">
        <v>44804</v>
      </c>
      <c r="D788" t="s">
        <v>62</v>
      </c>
      <c r="E788" t="s">
        <v>67</v>
      </c>
      <c r="F788">
        <v>130</v>
      </c>
      <c r="G788" t="s">
        <v>2</v>
      </c>
      <c r="H788" s="2">
        <v>4</v>
      </c>
      <c r="I788" s="3">
        <f t="shared" ca="1" si="4"/>
        <v>0.15795888564298</v>
      </c>
      <c r="J788">
        <f>PRODUCT(Table3[[#This Row],[Price of One Product]],Table3[[#This Row],[No of Products in one Sale]])</f>
        <v>520</v>
      </c>
      <c r="K788" s="6">
        <f ca="1">Table3[[#This Row],[Actual Sale]]*(1-Table3[[#This Row],[Discount]])</f>
        <v>437.86137946565043</v>
      </c>
      <c r="L788" t="str">
        <f>TEXT(Table3[[#This Row],[Sale Date]],"dddd")</f>
        <v>Wednesday</v>
      </c>
    </row>
    <row r="789" spans="1:12" x14ac:dyDescent="0.3">
      <c r="A789" t="s">
        <v>812</v>
      </c>
      <c r="B789" t="s">
        <v>54</v>
      </c>
      <c r="C789" s="1">
        <v>44803</v>
      </c>
      <c r="D789" t="s">
        <v>59</v>
      </c>
      <c r="E789" t="s">
        <v>66</v>
      </c>
      <c r="F789">
        <v>72</v>
      </c>
      <c r="G789" t="s">
        <v>0</v>
      </c>
      <c r="H789" s="2">
        <v>5</v>
      </c>
      <c r="I789" s="3">
        <f t="shared" ca="1" si="4"/>
        <v>0.48560723939647121</v>
      </c>
      <c r="J789">
        <f>PRODUCT(Table3[[#This Row],[Price of One Product]],Table3[[#This Row],[No of Products in one Sale]])</f>
        <v>360</v>
      </c>
      <c r="K789" s="6">
        <f ca="1">Table3[[#This Row],[Actual Sale]]*(1-Table3[[#This Row],[Discount]])</f>
        <v>185.18139381727036</v>
      </c>
      <c r="L789" t="str">
        <f>TEXT(Table3[[#This Row],[Sale Date]],"dddd")</f>
        <v>Tuesday</v>
      </c>
    </row>
    <row r="790" spans="1:12" x14ac:dyDescent="0.3">
      <c r="A790" t="s">
        <v>813</v>
      </c>
      <c r="B790" t="s">
        <v>51</v>
      </c>
      <c r="C790" s="1">
        <v>44808</v>
      </c>
      <c r="D790" t="s">
        <v>60</v>
      </c>
      <c r="E790" t="s">
        <v>67</v>
      </c>
      <c r="F790">
        <v>65</v>
      </c>
      <c r="G790" t="s">
        <v>1</v>
      </c>
      <c r="H790" s="2">
        <v>7</v>
      </c>
      <c r="I790" s="3">
        <f t="shared" ca="1" si="4"/>
        <v>0.44601332859307419</v>
      </c>
      <c r="J790">
        <f>PRODUCT(Table3[[#This Row],[Price of One Product]],Table3[[#This Row],[No of Products in one Sale]])</f>
        <v>455</v>
      </c>
      <c r="K790" s="6">
        <f ca="1">Table3[[#This Row],[Actual Sale]]*(1-Table3[[#This Row],[Discount]])</f>
        <v>252.06393549015124</v>
      </c>
      <c r="L790" t="str">
        <f>TEXT(Table3[[#This Row],[Sale Date]],"dddd")</f>
        <v>Sunday</v>
      </c>
    </row>
    <row r="791" spans="1:12" x14ac:dyDescent="0.3">
      <c r="A791" t="s">
        <v>814</v>
      </c>
      <c r="B791" t="s">
        <v>52</v>
      </c>
      <c r="C791" s="1">
        <v>44786</v>
      </c>
      <c r="D791" t="s">
        <v>61</v>
      </c>
      <c r="E791" t="s">
        <v>66</v>
      </c>
      <c r="F791">
        <v>250</v>
      </c>
      <c r="G791" t="s">
        <v>2</v>
      </c>
      <c r="H791" s="2">
        <v>1</v>
      </c>
      <c r="I791" s="3">
        <f t="shared" ca="1" si="4"/>
        <v>0.77227815190675786</v>
      </c>
      <c r="J791">
        <f>PRODUCT(Table3[[#This Row],[Price of One Product]],Table3[[#This Row],[No of Products in one Sale]])</f>
        <v>250</v>
      </c>
      <c r="K791" s="6">
        <f ca="1">Table3[[#This Row],[Actual Sale]]*(1-Table3[[#This Row],[Discount]])</f>
        <v>56.930462023310533</v>
      </c>
      <c r="L791" t="str">
        <f>TEXT(Table3[[#This Row],[Sale Date]],"dddd")</f>
        <v>Saturday</v>
      </c>
    </row>
    <row r="792" spans="1:12" x14ac:dyDescent="0.3">
      <c r="A792" t="s">
        <v>815</v>
      </c>
      <c r="B792" t="s">
        <v>53</v>
      </c>
      <c r="C792" s="1">
        <v>44788</v>
      </c>
      <c r="D792" t="s">
        <v>62</v>
      </c>
      <c r="E792" t="s">
        <v>67</v>
      </c>
      <c r="F792">
        <v>130</v>
      </c>
      <c r="G792" t="s">
        <v>0</v>
      </c>
      <c r="H792" s="2">
        <v>6</v>
      </c>
      <c r="I792" s="3">
        <f t="shared" ca="1" si="4"/>
        <v>0.1646290098913844</v>
      </c>
      <c r="J792">
        <f>PRODUCT(Table3[[#This Row],[Price of One Product]],Table3[[#This Row],[No of Products in one Sale]])</f>
        <v>780</v>
      </c>
      <c r="K792" s="6">
        <f ca="1">Table3[[#This Row],[Actual Sale]]*(1-Table3[[#This Row],[Discount]])</f>
        <v>651.58937228472018</v>
      </c>
      <c r="L792" t="str">
        <f>TEXT(Table3[[#This Row],[Sale Date]],"dddd")</f>
        <v>Monday</v>
      </c>
    </row>
    <row r="793" spans="1:12" x14ac:dyDescent="0.3">
      <c r="A793" t="s">
        <v>816</v>
      </c>
      <c r="B793" t="s">
        <v>54</v>
      </c>
      <c r="C793" s="1">
        <v>44772</v>
      </c>
      <c r="D793" t="s">
        <v>63</v>
      </c>
      <c r="E793" t="s">
        <v>66</v>
      </c>
      <c r="F793">
        <v>60</v>
      </c>
      <c r="G793" t="s">
        <v>1</v>
      </c>
      <c r="H793" s="2">
        <v>13</v>
      </c>
      <c r="I793" s="3">
        <f t="shared" ca="1" si="4"/>
        <v>0.54614871336253046</v>
      </c>
      <c r="J793">
        <f>PRODUCT(Table3[[#This Row],[Price of One Product]],Table3[[#This Row],[No of Products in one Sale]])</f>
        <v>780</v>
      </c>
      <c r="K793" s="6">
        <f ca="1">Table3[[#This Row],[Actual Sale]]*(1-Table3[[#This Row],[Discount]])</f>
        <v>354.00400357722623</v>
      </c>
      <c r="L793" t="str">
        <f>TEXT(Table3[[#This Row],[Sale Date]],"dddd")</f>
        <v>Saturday</v>
      </c>
    </row>
    <row r="794" spans="1:12" x14ac:dyDescent="0.3">
      <c r="A794" t="s">
        <v>817</v>
      </c>
      <c r="B794" t="s">
        <v>55</v>
      </c>
      <c r="C794" s="1">
        <v>44756</v>
      </c>
      <c r="D794" t="s">
        <v>64</v>
      </c>
      <c r="E794" t="s">
        <v>67</v>
      </c>
      <c r="F794">
        <v>95</v>
      </c>
      <c r="G794" t="s">
        <v>2</v>
      </c>
      <c r="H794" s="2">
        <v>6</v>
      </c>
      <c r="I794" s="3">
        <f t="shared" ca="1" si="4"/>
        <v>0.82850827918271097</v>
      </c>
      <c r="J794">
        <f>PRODUCT(Table3[[#This Row],[Price of One Product]],Table3[[#This Row],[No of Products in one Sale]])</f>
        <v>570</v>
      </c>
      <c r="K794" s="6">
        <f ca="1">Table3[[#This Row],[Actual Sale]]*(1-Table3[[#This Row],[Discount]])</f>
        <v>97.750280865854748</v>
      </c>
      <c r="L794" t="str">
        <f>TEXT(Table3[[#This Row],[Sale Date]],"dddd")</f>
        <v>Thursday</v>
      </c>
    </row>
    <row r="795" spans="1:12" x14ac:dyDescent="0.3">
      <c r="A795" t="s">
        <v>818</v>
      </c>
      <c r="B795" t="s">
        <v>56</v>
      </c>
      <c r="C795" s="1">
        <v>44808</v>
      </c>
      <c r="D795" t="s">
        <v>59</v>
      </c>
      <c r="E795" t="s">
        <v>66</v>
      </c>
      <c r="F795">
        <v>72</v>
      </c>
      <c r="G795" t="s">
        <v>0</v>
      </c>
      <c r="H795" s="2">
        <v>12</v>
      </c>
      <c r="I795" s="3">
        <f t="shared" ca="1" si="4"/>
        <v>6.7735074074978252E-3</v>
      </c>
      <c r="J795">
        <f>PRODUCT(Table3[[#This Row],[Price of One Product]],Table3[[#This Row],[No of Products in one Sale]])</f>
        <v>864</v>
      </c>
      <c r="K795" s="6">
        <f ca="1">Table3[[#This Row],[Actual Sale]]*(1-Table3[[#This Row],[Discount]])</f>
        <v>858.14768959992193</v>
      </c>
      <c r="L795" t="str">
        <f>TEXT(Table3[[#This Row],[Sale Date]],"dddd")</f>
        <v>Sunday</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86100-4AE5-4783-9CCC-BF1A1EAD5624}">
  <dimension ref="A1:D71"/>
  <sheetViews>
    <sheetView topLeftCell="A56" zoomScale="106" workbookViewId="0">
      <selection activeCell="L64" sqref="L64"/>
    </sheetView>
  </sheetViews>
  <sheetFormatPr defaultRowHeight="14.4" x14ac:dyDescent="0.3"/>
  <cols>
    <col min="1" max="1" width="26" bestFit="1" customWidth="1"/>
    <col min="2" max="3" width="12.44140625" bestFit="1" customWidth="1"/>
    <col min="4" max="4" width="11.77734375" bestFit="1" customWidth="1"/>
  </cols>
  <sheetData>
    <row r="1" spans="1:4" x14ac:dyDescent="0.3">
      <c r="A1" t="s">
        <v>835</v>
      </c>
      <c r="B1" t="s">
        <v>838</v>
      </c>
      <c r="C1" t="s">
        <v>836</v>
      </c>
      <c r="D1" t="s">
        <v>837</v>
      </c>
    </row>
    <row r="2" spans="1:4" x14ac:dyDescent="0.3">
      <c r="A2" s="6">
        <v>13484.419740821651</v>
      </c>
      <c r="B2" s="6">
        <v>0.40868229226392699</v>
      </c>
      <c r="C2" s="6">
        <v>345.75435232876032</v>
      </c>
      <c r="D2" s="7">
        <v>39</v>
      </c>
    </row>
    <row r="3" spans="1:4" x14ac:dyDescent="0.3">
      <c r="A3" s="11">
        <f>GETPIVOTDATA("Total Revenue",$A$1)</f>
        <v>13484.419740821651</v>
      </c>
      <c r="B3" s="12">
        <f>GETPIVOTDATA("Average Discount",$A$1)</f>
        <v>0.40868229226392699</v>
      </c>
      <c r="C3" s="8">
        <f>GETPIVOTDATA("Average Revenue",$A$1)</f>
        <v>345.75435232876032</v>
      </c>
      <c r="D3">
        <f>GETPIVOTDATA(" Total Orders",$A$1)</f>
        <v>39</v>
      </c>
    </row>
    <row r="5" spans="1:4" x14ac:dyDescent="0.3">
      <c r="A5" t="s">
        <v>820</v>
      </c>
    </row>
    <row r="6" spans="1:4" x14ac:dyDescent="0.3">
      <c r="A6" s="4" t="s">
        <v>824</v>
      </c>
      <c r="B6" t="s">
        <v>839</v>
      </c>
    </row>
    <row r="7" spans="1:4" x14ac:dyDescent="0.3">
      <c r="A7" s="5" t="s">
        <v>62</v>
      </c>
      <c r="B7" s="7">
        <v>14</v>
      </c>
    </row>
    <row r="8" spans="1:4" x14ac:dyDescent="0.3">
      <c r="A8" s="5" t="s">
        <v>61</v>
      </c>
      <c r="B8" s="7">
        <v>11</v>
      </c>
    </row>
    <row r="9" spans="1:4" x14ac:dyDescent="0.3">
      <c r="A9" s="5" t="s">
        <v>59</v>
      </c>
      <c r="B9" s="7">
        <v>9</v>
      </c>
    </row>
    <row r="10" spans="1:4" x14ac:dyDescent="0.3">
      <c r="A10" s="5" t="s">
        <v>63</v>
      </c>
      <c r="B10" s="7">
        <v>5</v>
      </c>
    </row>
    <row r="11" spans="1:4" x14ac:dyDescent="0.3">
      <c r="A11" s="5" t="s">
        <v>825</v>
      </c>
      <c r="B11" s="7">
        <v>39</v>
      </c>
    </row>
    <row r="16" spans="1:4" x14ac:dyDescent="0.3">
      <c r="A16" t="s">
        <v>821</v>
      </c>
    </row>
    <row r="17" spans="1:2" x14ac:dyDescent="0.3">
      <c r="A17" s="4" t="s">
        <v>824</v>
      </c>
      <c r="B17" t="s">
        <v>840</v>
      </c>
    </row>
    <row r="18" spans="1:2" x14ac:dyDescent="0.3">
      <c r="A18" s="5" t="s">
        <v>826</v>
      </c>
      <c r="B18" s="10">
        <v>27</v>
      </c>
    </row>
    <row r="19" spans="1:2" x14ac:dyDescent="0.3">
      <c r="A19" s="5" t="s">
        <v>827</v>
      </c>
      <c r="B19" s="10">
        <v>56</v>
      </c>
    </row>
    <row r="20" spans="1:2" x14ac:dyDescent="0.3">
      <c r="A20" s="5" t="s">
        <v>828</v>
      </c>
      <c r="B20" s="10">
        <v>53</v>
      </c>
    </row>
    <row r="21" spans="1:2" x14ac:dyDescent="0.3">
      <c r="A21" s="5" t="s">
        <v>829</v>
      </c>
      <c r="B21" s="10">
        <v>57</v>
      </c>
    </row>
    <row r="22" spans="1:2" x14ac:dyDescent="0.3">
      <c r="A22" s="5" t="s">
        <v>825</v>
      </c>
      <c r="B22" s="10">
        <v>193</v>
      </c>
    </row>
    <row r="28" spans="1:2" x14ac:dyDescent="0.3">
      <c r="A28" t="s">
        <v>822</v>
      </c>
    </row>
    <row r="29" spans="1:2" x14ac:dyDescent="0.3">
      <c r="A29" s="4" t="s">
        <v>824</v>
      </c>
      <c r="B29" t="s">
        <v>834</v>
      </c>
    </row>
    <row r="30" spans="1:2" x14ac:dyDescent="0.3">
      <c r="A30" s="5" t="s">
        <v>826</v>
      </c>
      <c r="B30" s="6">
        <v>2531.5552621508641</v>
      </c>
    </row>
    <row r="31" spans="1:2" x14ac:dyDescent="0.3">
      <c r="A31" s="5" t="s">
        <v>827</v>
      </c>
      <c r="B31" s="6">
        <v>3850.1282876187988</v>
      </c>
    </row>
    <row r="32" spans="1:2" x14ac:dyDescent="0.3">
      <c r="A32" s="5" t="s">
        <v>828</v>
      </c>
      <c r="B32" s="6">
        <v>2822.2420904603682</v>
      </c>
    </row>
    <row r="33" spans="1:2" x14ac:dyDescent="0.3">
      <c r="A33" s="5" t="s">
        <v>829</v>
      </c>
      <c r="B33" s="6">
        <v>4280.4941005916207</v>
      </c>
    </row>
    <row r="34" spans="1:2" x14ac:dyDescent="0.3">
      <c r="A34" s="5" t="s">
        <v>825</v>
      </c>
      <c r="B34" s="6">
        <v>13484.419740821651</v>
      </c>
    </row>
    <row r="40" spans="1:2" x14ac:dyDescent="0.3">
      <c r="A40" t="s">
        <v>823</v>
      </c>
    </row>
    <row r="41" spans="1:2" x14ac:dyDescent="0.3">
      <c r="A41" s="4" t="s">
        <v>824</v>
      </c>
      <c r="B41" t="s">
        <v>834</v>
      </c>
    </row>
    <row r="42" spans="1:2" x14ac:dyDescent="0.3">
      <c r="A42" s="5" t="s">
        <v>61</v>
      </c>
      <c r="B42" s="6">
        <v>4473.9217421741005</v>
      </c>
    </row>
    <row r="43" spans="1:2" x14ac:dyDescent="0.3">
      <c r="A43" s="5" t="s">
        <v>62</v>
      </c>
      <c r="B43" s="6">
        <v>4540.950655892123</v>
      </c>
    </row>
    <row r="44" spans="1:2" x14ac:dyDescent="0.3">
      <c r="A44" s="5" t="s">
        <v>63</v>
      </c>
      <c r="B44" s="6">
        <v>2293.208149113173</v>
      </c>
    </row>
    <row r="45" spans="1:2" x14ac:dyDescent="0.3">
      <c r="A45" s="5" t="s">
        <v>59</v>
      </c>
      <c r="B45" s="6">
        <v>2176.3391936422531</v>
      </c>
    </row>
    <row r="46" spans="1:2" x14ac:dyDescent="0.3">
      <c r="A46" s="5" t="s">
        <v>825</v>
      </c>
      <c r="B46" s="6">
        <v>13484.41974082165</v>
      </c>
    </row>
    <row r="54" spans="1:3" x14ac:dyDescent="0.3">
      <c r="A54" s="4" t="s">
        <v>824</v>
      </c>
      <c r="B54" t="s">
        <v>841</v>
      </c>
      <c r="C54" t="s">
        <v>834</v>
      </c>
    </row>
    <row r="55" spans="1:3" x14ac:dyDescent="0.3">
      <c r="A55" s="5" t="s">
        <v>826</v>
      </c>
      <c r="B55" s="7">
        <v>3592</v>
      </c>
      <c r="C55" s="7">
        <v>2531.5552621508641</v>
      </c>
    </row>
    <row r="56" spans="1:3" x14ac:dyDescent="0.3">
      <c r="A56" s="5" t="s">
        <v>827</v>
      </c>
      <c r="B56" s="7">
        <v>5242</v>
      </c>
      <c r="C56" s="7">
        <v>3850.1282876187988</v>
      </c>
    </row>
    <row r="57" spans="1:3" x14ac:dyDescent="0.3">
      <c r="A57" s="5" t="s">
        <v>828</v>
      </c>
      <c r="B57" s="7">
        <v>5976</v>
      </c>
      <c r="C57" s="7">
        <v>2822.2420904603682</v>
      </c>
    </row>
    <row r="58" spans="1:3" x14ac:dyDescent="0.3">
      <c r="A58" s="5" t="s">
        <v>829</v>
      </c>
      <c r="B58" s="7">
        <v>6928</v>
      </c>
      <c r="C58" s="7">
        <v>4280.4941005916207</v>
      </c>
    </row>
    <row r="59" spans="1:3" x14ac:dyDescent="0.3">
      <c r="A59" s="5" t="s">
        <v>825</v>
      </c>
      <c r="B59" s="7">
        <v>21738</v>
      </c>
      <c r="C59" s="7">
        <v>13484.419740821651</v>
      </c>
    </row>
    <row r="66" spans="1:3" x14ac:dyDescent="0.3">
      <c r="A66" s="4" t="s">
        <v>843</v>
      </c>
      <c r="B66" t="s">
        <v>842</v>
      </c>
      <c r="C66" t="s">
        <v>830</v>
      </c>
    </row>
    <row r="67" spans="1:3" x14ac:dyDescent="0.3">
      <c r="A67" s="5" t="s">
        <v>61</v>
      </c>
      <c r="B67" s="7">
        <v>4473.9217421741005</v>
      </c>
      <c r="C67" s="7">
        <v>406.72015837946367</v>
      </c>
    </row>
    <row r="68" spans="1:3" x14ac:dyDescent="0.3">
      <c r="A68" s="5" t="s">
        <v>62</v>
      </c>
      <c r="B68" s="7">
        <v>4540.950655892123</v>
      </c>
      <c r="C68" s="7">
        <v>324.35361827800881</v>
      </c>
    </row>
    <row r="69" spans="1:3" x14ac:dyDescent="0.3">
      <c r="A69" s="5" t="s">
        <v>63</v>
      </c>
      <c r="B69" s="7">
        <v>2293.208149113173</v>
      </c>
      <c r="C69" s="7">
        <v>458.64162982263463</v>
      </c>
    </row>
    <row r="70" spans="1:3" x14ac:dyDescent="0.3">
      <c r="A70" s="5" t="s">
        <v>59</v>
      </c>
      <c r="B70" s="7">
        <v>2176.3391936422531</v>
      </c>
      <c r="C70" s="7">
        <v>241.81546596025035</v>
      </c>
    </row>
    <row r="71" spans="1:3" x14ac:dyDescent="0.3">
      <c r="A71" s="5" t="s">
        <v>825</v>
      </c>
      <c r="B71" s="7">
        <v>13484.419740821648</v>
      </c>
      <c r="C71" s="7">
        <v>345.75435232876021</v>
      </c>
    </row>
  </sheetData>
  <pageMargins left="0.7" right="0.7" top="0.75" bottom="0.75" header="0.3" footer="0.3"/>
  <pageSetup paperSize="9"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DDEB7-B2BD-440F-8D7E-A303642D8064}">
  <dimension ref="A7:AB50"/>
  <sheetViews>
    <sheetView showGridLines="0" showRowColHeaders="0" tabSelected="1" topLeftCell="A2" zoomScaleNormal="100" workbookViewId="0">
      <selection activeCell="AC19" sqref="AC19"/>
    </sheetView>
  </sheetViews>
  <sheetFormatPr defaultRowHeight="14.4" x14ac:dyDescent="0.3"/>
  <sheetData>
    <row r="7" spans="1:28" x14ac:dyDescent="0.3">
      <c r="A7" s="9"/>
      <c r="B7" s="9"/>
      <c r="C7" s="9"/>
      <c r="D7" s="9"/>
      <c r="E7" s="9"/>
      <c r="F7" s="9"/>
      <c r="G7" s="9"/>
      <c r="H7" s="9"/>
      <c r="I7" s="9"/>
      <c r="J7" s="9"/>
      <c r="K7" s="9"/>
      <c r="L7" s="9"/>
      <c r="M7" s="9"/>
      <c r="N7" s="9"/>
      <c r="O7" s="9"/>
      <c r="P7" s="9"/>
      <c r="Q7" s="9"/>
      <c r="R7" s="9"/>
      <c r="S7" s="9"/>
      <c r="T7" s="9"/>
      <c r="U7" s="9"/>
      <c r="V7" s="9"/>
      <c r="W7" s="9"/>
      <c r="X7" s="9"/>
      <c r="Y7" s="9"/>
      <c r="Z7" s="9"/>
      <c r="AA7" s="9"/>
      <c r="AB7" s="9"/>
    </row>
    <row r="8" spans="1:28" x14ac:dyDescent="0.3">
      <c r="A8" s="9"/>
      <c r="B8" s="9"/>
      <c r="C8" s="9"/>
      <c r="D8" s="9"/>
      <c r="E8" s="9"/>
      <c r="F8" s="9"/>
      <c r="G8" s="9"/>
      <c r="H8" s="9"/>
      <c r="I8" s="9"/>
      <c r="J8" s="9"/>
      <c r="K8" s="9"/>
      <c r="L8" s="9"/>
      <c r="M8" s="9"/>
      <c r="N8" s="9"/>
      <c r="O8" s="9"/>
      <c r="P8" s="9"/>
      <c r="Q8" s="9"/>
      <c r="R8" s="9"/>
      <c r="S8" s="9"/>
      <c r="T8" s="9"/>
      <c r="U8" s="9"/>
      <c r="V8" s="9"/>
      <c r="W8" s="9"/>
      <c r="X8" s="9"/>
      <c r="Y8" s="9"/>
      <c r="Z8" s="9"/>
      <c r="AA8" s="9"/>
      <c r="AB8" s="9"/>
    </row>
    <row r="9" spans="1:28" x14ac:dyDescent="0.3">
      <c r="A9" s="9"/>
      <c r="B9" s="9"/>
      <c r="C9" s="9"/>
      <c r="D9" s="9"/>
      <c r="E9" s="9"/>
      <c r="F9" s="9"/>
      <c r="G9" s="9"/>
      <c r="H9" s="9"/>
      <c r="I9" s="9"/>
      <c r="J9" s="9"/>
      <c r="K9" s="9"/>
      <c r="L9" s="9"/>
      <c r="M9" s="9"/>
      <c r="N9" s="9"/>
      <c r="O9" s="9"/>
      <c r="P9" s="9"/>
      <c r="Q9" s="9"/>
      <c r="R9" s="9"/>
      <c r="S9" s="9"/>
      <c r="T9" s="9"/>
      <c r="U9" s="9"/>
      <c r="V9" s="9"/>
      <c r="W9" s="9"/>
      <c r="X9" s="9"/>
      <c r="Y9" s="9"/>
      <c r="Z9" s="9"/>
      <c r="AA9" s="9"/>
      <c r="AB9" s="9"/>
    </row>
    <row r="10" spans="1:28"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row>
    <row r="11" spans="1:28"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row>
    <row r="12" spans="1:28"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row>
    <row r="13" spans="1:28"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row>
    <row r="14" spans="1:28"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row>
    <row r="15" spans="1:28"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row>
    <row r="16" spans="1:28"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row>
    <row r="17" spans="1:28"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row>
    <row r="18" spans="1:28"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row>
    <row r="19" spans="1:28"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row>
    <row r="20" spans="1:28"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row>
    <row r="21" spans="1:28"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row>
    <row r="22" spans="1:28"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row>
    <row r="23" spans="1:28"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row>
    <row r="24" spans="1:28"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row>
    <row r="25" spans="1:28"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row>
    <row r="26" spans="1:28"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row>
    <row r="27" spans="1:28"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row>
    <row r="28" spans="1:28"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row>
    <row r="29" spans="1:28"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row>
    <row r="30" spans="1:28"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row>
    <row r="31" spans="1:28"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row>
    <row r="32" spans="1:28"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row>
    <row r="33" spans="1:28"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row>
    <row r="34" spans="1:28"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row>
    <row r="35" spans="1:28"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row>
    <row r="36" spans="1:28"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row>
    <row r="37" spans="1:28"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row>
    <row r="38" spans="1:28"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row>
    <row r="39" spans="1:28"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row>
    <row r="40" spans="1:28"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row>
    <row r="41" spans="1:28"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row>
    <row r="42" spans="1:28"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row>
    <row r="43" spans="1:28"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row>
    <row r="44" spans="1:28"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row>
    <row r="45" spans="1:28"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row>
    <row r="46" spans="1:28"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row>
    <row r="47" spans="1:28"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row>
    <row r="48" spans="1:28"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row>
    <row r="49" spans="1:28"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row>
    <row r="50" spans="1:28"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50569E6-BC47-4C4F-B992-BEA2E4F298B3}">
  <ds:schemaRefs/>
</ds:datastoreItem>
</file>

<file path=customXml/itemProps2.xml><?xml version="1.0" encoding="utf-8"?>
<ds:datastoreItem xmlns:ds="http://schemas.openxmlformats.org/officeDocument/2006/customXml" ds:itemID="{DC62AE86-731E-4AA4-B89A-EE55126DF6F5}">
  <ds:schemaRefs/>
</ds:datastoreItem>
</file>

<file path=customXml/itemProps3.xml><?xml version="1.0" encoding="utf-8"?>
<ds:datastoreItem xmlns:ds="http://schemas.openxmlformats.org/officeDocument/2006/customXml" ds:itemID="{AC500CC4-053B-414E-B558-4E97050A717A}">
  <ds:schemaRefs/>
</ds:datastoreItem>
</file>

<file path=customXml/itemProps4.xml><?xml version="1.0" encoding="utf-8"?>
<ds:datastoreItem xmlns:ds="http://schemas.openxmlformats.org/officeDocument/2006/customXml" ds:itemID="{9613485B-510A-4B45-823D-B5CFEB3726F3}">
  <ds:schemaRefs/>
</ds:datastoreItem>
</file>

<file path=customXml/itemProps5.xml><?xml version="1.0" encoding="utf-8"?>
<ds:datastoreItem xmlns:ds="http://schemas.openxmlformats.org/officeDocument/2006/customXml" ds:itemID="{17FF6E2B-8C85-48F6-B1DB-0CC3E17AEBB2}">
  <ds:schemaRefs/>
</ds:datastoreItem>
</file>

<file path=customXml/itemProps6.xml><?xml version="1.0" encoding="utf-8"?>
<ds:datastoreItem xmlns:ds="http://schemas.openxmlformats.org/officeDocument/2006/customXml" ds:itemID="{F8827984-2C90-44C2-9BD2-A987B8F0BBD6}">
  <ds:schemaRefs/>
</ds:datastoreItem>
</file>

<file path=customXml/itemProps7.xml><?xml version="1.0" encoding="utf-8"?>
<ds:datastoreItem xmlns:ds="http://schemas.openxmlformats.org/officeDocument/2006/customXml" ds:itemID="{52A626E1-092D-49D2-B99B-07312562C7E0}">
  <ds:schemaRefs/>
</ds:datastoreItem>
</file>

<file path=customXml/itemProps8.xml><?xml version="1.0" encoding="utf-8"?>
<ds:datastoreItem xmlns:ds="http://schemas.openxmlformats.org/officeDocument/2006/customXml" ds:itemID="{31D1DDF0-7855-49CA-9F1A-BB8C23485C39}">
  <ds:schemaRefs/>
</ds:datastoreItem>
</file>

<file path=customXml/itemProps9.xml><?xml version="1.0" encoding="utf-8"?>
<ds:datastoreItem xmlns:ds="http://schemas.openxmlformats.org/officeDocument/2006/customXml" ds:itemID="{3F1065C3-D329-4198-AEE0-F4726993FA3E}">
  <ds:schemaRefs/>
</ds:datastoreItem>
</file>

<file path=customXml/itemProps10.xml><?xml version="1.0" encoding="utf-8"?>
<ds:datastoreItem xmlns:ds="http://schemas.openxmlformats.org/officeDocument/2006/customXml" ds:itemID="{84A5B39F-C7EB-4114-B274-76981C642B3D}">
  <ds:schemaRefs/>
</ds:datastoreItem>
</file>

<file path=customXml/itemProps11.xml><?xml version="1.0" encoding="utf-8"?>
<ds:datastoreItem xmlns:ds="http://schemas.openxmlformats.org/officeDocument/2006/customXml" ds:itemID="{1A72773C-FAB6-4D90-A714-70EFD06CD583}">
  <ds:schemaRefs/>
</ds:datastoreItem>
</file>

<file path=customXml/itemProps12.xml><?xml version="1.0" encoding="utf-8"?>
<ds:datastoreItem xmlns:ds="http://schemas.openxmlformats.org/officeDocument/2006/customXml" ds:itemID="{AAB46EEA-D3B7-467E-9F63-9A6844E28FC2}">
  <ds:schemaRefs/>
</ds:datastoreItem>
</file>

<file path=customXml/itemProps13.xml><?xml version="1.0" encoding="utf-8"?>
<ds:datastoreItem xmlns:ds="http://schemas.openxmlformats.org/officeDocument/2006/customXml" ds:itemID="{CAB2A319-87FC-45F5-BFAF-B9F6B5364B1B}">
  <ds:schemaRefs/>
</ds:datastoreItem>
</file>

<file path=customXml/itemProps14.xml><?xml version="1.0" encoding="utf-8"?>
<ds:datastoreItem xmlns:ds="http://schemas.openxmlformats.org/officeDocument/2006/customXml" ds:itemID="{CE71CAAA-9A6A-48E5-9BC4-2599E09394C8}">
  <ds:schemaRefs/>
</ds:datastoreItem>
</file>

<file path=customXml/itemProps15.xml><?xml version="1.0" encoding="utf-8"?>
<ds:datastoreItem xmlns:ds="http://schemas.openxmlformats.org/officeDocument/2006/customXml" ds:itemID="{87956FB9-63A1-4D1F-B520-80CD05AC35AD}">
  <ds:schemaRefs/>
</ds:datastoreItem>
</file>

<file path=customXml/itemProps16.xml><?xml version="1.0" encoding="utf-8"?>
<ds:datastoreItem xmlns:ds="http://schemas.openxmlformats.org/officeDocument/2006/customXml" ds:itemID="{A1007EA6-ED92-4ECA-ACEB-9734361FB62B}">
  <ds:schemaRefs/>
</ds:datastoreItem>
</file>

<file path=customXml/itemProps17.xml><?xml version="1.0" encoding="utf-8"?>
<ds:datastoreItem xmlns:ds="http://schemas.openxmlformats.org/officeDocument/2006/customXml" ds:itemID="{F08307B3-885A-429F-9C56-A25D8E2BA76A}">
  <ds:schemaRefs/>
</ds:datastoreItem>
</file>

<file path=customXml/itemProps18.xml><?xml version="1.0" encoding="utf-8"?>
<ds:datastoreItem xmlns:ds="http://schemas.openxmlformats.org/officeDocument/2006/customXml" ds:itemID="{555080A5-EE43-4CD2-BFBD-34DCE655B488}">
  <ds:schemaRefs/>
</ds:datastoreItem>
</file>

<file path=customXml/itemProps19.xml><?xml version="1.0" encoding="utf-8"?>
<ds:datastoreItem xmlns:ds="http://schemas.openxmlformats.org/officeDocument/2006/customXml" ds:itemID="{DE7F0513-7D29-45D1-8141-CE2134C508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Order Pivot</vt:lpstr>
      <vt:lpstr>Order_Dashboard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Riya Sharma</cp:lastModifiedBy>
  <dcterms:created xsi:type="dcterms:W3CDTF">2022-06-24T09:46:13Z</dcterms:created>
  <dcterms:modified xsi:type="dcterms:W3CDTF">2026-09-16T12:06:53Z</dcterms:modified>
</cp:coreProperties>
</file>